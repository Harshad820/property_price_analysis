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E:\Data analytics\excel\guided project\"/>
    </mc:Choice>
  </mc:AlternateContent>
  <xr:revisionPtr revIDLastSave="0" documentId="13_ncr:1_{212F0BD5-984A-44C6-BBEE-83F7B513240C}" xr6:coauthVersionLast="47" xr6:coauthVersionMax="47" xr10:uidLastSave="{00000000-0000-0000-0000-000000000000}"/>
  <bookViews>
    <workbookView xWindow="-108" yWindow="-108" windowWidth="23256" windowHeight="12456" firstSheet="3" activeTab="8" xr2:uid="{00000000-000D-0000-FFFF-FFFF00000000}"/>
  </bookViews>
  <sheets>
    <sheet name="daset" sheetId="1" r:id="rId1"/>
    <sheet name="copy of dataset" sheetId="9" r:id="rId2"/>
    <sheet name="Sheet1" sheetId="10" r:id="rId3"/>
    <sheet name="clean dataset" sheetId="2" r:id="rId4"/>
    <sheet name="KPI'S" sheetId="3" r:id="rId5"/>
    <sheet name="average price per city" sheetId="4" r:id="rId6"/>
    <sheet name="condition wise proce" sheetId="6" r:id="rId7"/>
    <sheet name="avg price" sheetId="7" r:id="rId8"/>
    <sheet name="Sheet8" sheetId="8" r:id="rId9"/>
    <sheet name="Sheet2" sheetId="11" r:id="rId10"/>
  </sheets>
  <definedNames>
    <definedName name="_xlnm._FilterDatabase" localSheetId="3" hidden="1">'clean dataset'!$A$1:$R$251</definedName>
    <definedName name="ExternalData_1" localSheetId="3" hidden="1">'clean dataset'!$A$1:$T$251</definedName>
    <definedName name="NativeTimeline_Sale_Date">#N/A</definedName>
    <definedName name="Slicer_Bedrooms">#N/A</definedName>
    <definedName name="Slicer_City1">#N/A</definedName>
    <definedName name="Slicer_Column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3" l="1"/>
  <c r="B5" i="3"/>
  <c r="B7" i="3"/>
  <c r="B9" i="3"/>
  <c r="B11" i="3"/>
  <c r="C5" i="3"/>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0FB937-BEA0-439E-AB01-466475E79C1A}"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<sst xmlns="http://schemas.openxmlformats.org/spreadsheetml/2006/main" count="5422" uniqueCount="616">
  <si>
    <t>ListingID</t>
  </si>
  <si>
    <t>City</t>
  </si>
  <si>
    <t>Neighborhood</t>
  </si>
  <si>
    <t>Address</t>
  </si>
  <si>
    <t>Bedrooms</t>
  </si>
  <si>
    <t>Bathrooms</t>
  </si>
  <si>
    <t>Area_sqft</t>
  </si>
  <si>
    <t>Year_Built</t>
  </si>
  <si>
    <t>Sale_Date</t>
  </si>
  <si>
    <t>Property_Type</t>
  </si>
  <si>
    <t>Condition</t>
  </si>
  <si>
    <t>Price_USD</t>
  </si>
  <si>
    <t>Price_per_sqft</t>
  </si>
  <si>
    <t>Days_on_Market</t>
  </si>
  <si>
    <t>Latitude</t>
  </si>
  <si>
    <t>Longitude</t>
  </si>
  <si>
    <t>Seller_Notes</t>
  </si>
  <si>
    <t>L1000</t>
  </si>
  <si>
    <t>L1001</t>
  </si>
  <si>
    <t>L1002</t>
  </si>
  <si>
    <t>L1003</t>
  </si>
  <si>
    <t>L1004</t>
  </si>
  <si>
    <t>L1005</t>
  </si>
  <si>
    <t>L1006</t>
  </si>
  <si>
    <t>L1007</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</si>
  <si>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</si>
  <si>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</si>
  <si>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</si>
  <si>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</si>
  <si>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</si>
  <si>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</si>
  <si>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</si>
  <si>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</si>
  <si>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</si>
  <si>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</si>
  <si>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</si>
  <si>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</si>
  <si>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</si>
  <si>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</si>
  <si>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</si>
  <si>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</si>
  <si>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</si>
  <si>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</si>
  <si>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</si>
  <si>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</si>
  <si>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</si>
  <si>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</si>
  <si>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</si>
  <si>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</si>
  <si>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</si>
  <si>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</si>
  <si>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</si>
  <si>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</si>
  <si>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</si>
  <si>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</si>
  <si>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</si>
  <si>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</si>
  <si>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</si>
  <si>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</si>
  <si>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</si>
  <si>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</si>
  <si>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</si>
  <si>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</si>
  <si>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</si>
  <si>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</si>
  <si>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</si>
  <si>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</si>
  <si>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</si>
  <si>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</si>
  <si>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</si>
  <si>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</si>
  <si>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</si>
  <si>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</si>
  <si>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</si>
  <si>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</si>
  <si>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</si>
  <si>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</si>
  <si>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</si>
  <si>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</si>
  <si>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</si>
  <si>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</si>
  <si>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</si>
  <si>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</si>
  <si>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</si>
  <si>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</si>
  <si>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</si>
  <si>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</si>
  <si>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</si>
  <si>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</si>
  <si>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</si>
  <si>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</si>
  <si>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</si>
  <si>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</si>
  <si>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</si>
  <si>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</si>
  <si>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</si>
  <si>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</si>
  <si>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</si>
  <si>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</si>
  <si>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</si>
  <si>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</si>
  <si>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</si>
  <si>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</si>
  <si>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</si>
  <si>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</si>
  <si>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</si>
  <si>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</si>
  <si>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</si>
  <si>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</si>
  <si>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</si>
  <si>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</si>
  <si>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</si>
  <si>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</si>
  <si>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</si>
  <si>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</si>
  <si>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</si>
  <si>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</si>
  <si>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</si>
  <si>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</si>
  <si>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</si>
  <si>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</si>
  <si>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</si>
  <si>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</si>
  <si>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</si>
  <si>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</si>
  <si>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</si>
  <si>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</si>
  <si>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</si>
  <si>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</si>
  <si>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</si>
  <si>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</si>
  <si>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</si>
  <si>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</si>
  <si>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</si>
  <si>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</si>
  <si>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</si>
  <si>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</si>
  <si>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</si>
  <si>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</si>
  <si>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</si>
  <si>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</si>
  <si>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</si>
  <si>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</si>
  <si>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</si>
  <si>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</si>
  <si>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</si>
  <si>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</si>
  <si>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</si>
  <si>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</si>
  <si>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</si>
  <si>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</si>
  <si>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</si>
  <si>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</si>
  <si>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</si>
  <si>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</si>
  <si>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</si>
  <si>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</si>
  <si>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</si>
  <si>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</si>
  <si>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</si>
  <si>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</si>
  <si>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</si>
  <si>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</si>
  <si>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</si>
  <si>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</si>
  <si>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</si>
  <si>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</si>
  <si>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</si>
  <si>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</si>
  <si>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</si>
  <si>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</si>
  <si>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</si>
  <si>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</si>
  <si>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</si>
  <si>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</si>
  <si>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</si>
  <si>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</si>
  <si>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</si>
  <si>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</si>
  <si>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</si>
  <si>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</si>
  <si>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</si>
  <si>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</si>
  <si>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</si>
  <si>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</si>
  <si>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</si>
  <si>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</si>
  <si>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</si>
  <si>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</si>
  <si>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</si>
  <si>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</si>
  <si>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</si>
  <si>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</si>
  <si>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</si>
  <si>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</si>
  <si>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</si>
  <si>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</si>
  <si>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</si>
  <si>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</si>
  <si>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</si>
  <si>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</si>
  <si>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</si>
  <si>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</si>
  <si>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</si>
  <si>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</si>
  <si>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</si>
  <si>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</si>
  <si>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</si>
  <si>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</si>
  <si>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</si>
  <si>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</si>
  <si>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</si>
  <si>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</si>
  <si>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</si>
  <si>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</si>
  <si>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</si>
  <si>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</si>
  <si>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</si>
  <si>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</si>
  <si>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</si>
  <si>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</si>
  <si>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</si>
  <si>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</si>
  <si>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</si>
  <si>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</si>
  <si>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</si>
  <si>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</si>
  <si>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</si>
  <si>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</si>
  <si>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</si>
  <si>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</si>
  <si>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</si>
  <si>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</si>
  <si>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</si>
  <si>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</si>
  <si>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</si>
  <si>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</si>
  <si>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</si>
  <si>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</si>
  <si>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</si>
  <si>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</si>
  <si>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</si>
  <si>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</si>
  <si>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</si>
  <si>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</si>
  <si>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</si>
  <si>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</si>
  <si>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</si>
  <si>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</si>
  <si>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</si>
  <si>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</si>
  <si>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</si>
  <si>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</si>
  <si>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</si>
  <si>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</si>
  <si>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</si>
  <si>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</si>
  <si>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</si>
  <si>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</si>
  <si>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</si>
  <si>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</si>
  <si>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</si>
  <si>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</si>
  <si>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</si>
  <si>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</si>
  <si>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</si>
  <si>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</si>
  <si>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San Francisco</t>
  </si>
  <si>
    <t>Seattle</t>
  </si>
  <si>
    <t>Denver</t>
  </si>
  <si>
    <t>New York</t>
  </si>
  <si>
    <t>Boston</t>
  </si>
  <si>
    <t>Miami</t>
  </si>
  <si>
    <t>Portland</t>
  </si>
  <si>
    <t>Los Angeles</t>
  </si>
  <si>
    <t>Austin</t>
  </si>
  <si>
    <t>Chicago</t>
  </si>
  <si>
    <t>San Fransisco</t>
  </si>
  <si>
    <t>Mission</t>
  </si>
  <si>
    <t>Queen Anne</t>
  </si>
  <si>
    <t>Highlands</t>
  </si>
  <si>
    <t>Astoria</t>
  </si>
  <si>
    <t>Ballard</t>
  </si>
  <si>
    <t>Back Bay</t>
  </si>
  <si>
    <t>Coral Gables</t>
  </si>
  <si>
    <t>Richmond</t>
  </si>
  <si>
    <t>Nob Hill</t>
  </si>
  <si>
    <t>Allston</t>
  </si>
  <si>
    <t>Cherry Creek</t>
  </si>
  <si>
    <t>Hawthorne</t>
  </si>
  <si>
    <t>Beacon Hill</t>
  </si>
  <si>
    <t>Capitol Hill</t>
  </si>
  <si>
    <t>Beverly Hills</t>
  </si>
  <si>
    <t>SoMa</t>
  </si>
  <si>
    <t>Wynwood</t>
  </si>
  <si>
    <t>South Congress</t>
  </si>
  <si>
    <t>Downtown</t>
  </si>
  <si>
    <t>Hollywood</t>
  </si>
  <si>
    <t>South Beach</t>
  </si>
  <si>
    <t>South End</t>
  </si>
  <si>
    <t>Little Havana</t>
  </si>
  <si>
    <t>Gold Coast</t>
  </si>
  <si>
    <t>Hyde Park</t>
  </si>
  <si>
    <t>Fremont</t>
  </si>
  <si>
    <t>Harlem</t>
  </si>
  <si>
    <t>Wicker Park</t>
  </si>
  <si>
    <t>Chelsea</t>
  </si>
  <si>
    <t>Lincoln Park</t>
  </si>
  <si>
    <t>Zilker</t>
  </si>
  <si>
    <t>Pearl District</t>
  </si>
  <si>
    <t>Brooklyn Heights</t>
  </si>
  <si>
    <t>Sunset</t>
  </si>
  <si>
    <t>Venice</t>
  </si>
  <si>
    <t>Cambridge</t>
  </si>
  <si>
    <t>Upper East Side</t>
  </si>
  <si>
    <t>Alberta</t>
  </si>
  <si>
    <t>East Austin</t>
  </si>
  <si>
    <t>Lakeview</t>
  </si>
  <si>
    <t>West Loop</t>
  </si>
  <si>
    <t>Belltown</t>
  </si>
  <si>
    <t>Silver Lake</t>
  </si>
  <si>
    <t>LoDo</t>
  </si>
  <si>
    <t>RiNo</t>
  </si>
  <si>
    <t>Brickell</t>
  </si>
  <si>
    <t>617 Pine St</t>
  </si>
  <si>
    <t>814 Maple Rd</t>
  </si>
  <si>
    <t>926 Main St</t>
  </si>
  <si>
    <t>296 Main St</t>
  </si>
  <si>
    <t>463 Oak Ave</t>
  </si>
  <si>
    <t>324 1st Ave</t>
  </si>
  <si>
    <t>771 Maple Rd</t>
  </si>
  <si>
    <t>324 Oak Ave</t>
  </si>
  <si>
    <t>710 Maple Rd</t>
  </si>
  <si>
    <t>564 Main St</t>
  </si>
  <si>
    <t>100 Pine St</t>
  </si>
  <si>
    <t>597 Main St</t>
  </si>
  <si>
    <t>873 Oak Ave</t>
  </si>
  <si>
    <t>702 Oak Ave</t>
  </si>
  <si>
    <t>235 Pine St</t>
  </si>
  <si>
    <t>984 Main St</t>
  </si>
  <si>
    <t>573 Oak Ave</t>
  </si>
  <si>
    <t>592 Oak Ave</t>
  </si>
  <si>
    <t>777 Maple Rd</t>
  </si>
  <si>
    <t>973 Pine St</t>
  </si>
  <si>
    <t>352 Pine St</t>
  </si>
  <si>
    <t>344 1st Ave</t>
  </si>
  <si>
    <t>318 Pine St</t>
  </si>
  <si>
    <t>926 Pine St</t>
  </si>
  <si>
    <t>719 Oak Ave</t>
  </si>
  <si>
    <t>752 1st Ave</t>
  </si>
  <si>
    <t>954 1st Ave</t>
  </si>
  <si>
    <t>462 Pine St</t>
  </si>
  <si>
    <t>921 Oak Ave</t>
  </si>
  <si>
    <t>328 Main St</t>
  </si>
  <si>
    <t>218 1st Ave</t>
  </si>
  <si>
    <t>294 1st Ave</t>
  </si>
  <si>
    <t>421 Main St</t>
  </si>
  <si>
    <t>866 Oak Ave</t>
  </si>
  <si>
    <t>576 Maple Rd</t>
  </si>
  <si>
    <t>788 1st Ave</t>
  </si>
  <si>
    <t>813 Maple Rd</t>
  </si>
  <si>
    <t>151 Pine St</t>
  </si>
  <si>
    <t>616 Maple Rd</t>
  </si>
  <si>
    <t>741 Oak Ave</t>
  </si>
  <si>
    <t>810 Oak Ave</t>
  </si>
  <si>
    <t>812 Main St</t>
  </si>
  <si>
    <t>599 Oak Ave</t>
  </si>
  <si>
    <t>706 Pine St</t>
  </si>
  <si>
    <t>384 Maple Rd</t>
  </si>
  <si>
    <t>353 Oak Ave</t>
  </si>
  <si>
    <t>721 Main St</t>
  </si>
  <si>
    <t>950 Oak Ave</t>
  </si>
  <si>
    <t>449 Main St</t>
  </si>
  <si>
    <t>927 Pine St</t>
  </si>
  <si>
    <t>868 Maple Rd</t>
  </si>
  <si>
    <t>818 1st Ave</t>
  </si>
  <si>
    <t>602 Maple Rd</t>
  </si>
  <si>
    <t>663 1st Ave</t>
  </si>
  <si>
    <t>296 Oak Ave</t>
  </si>
  <si>
    <t>114 Pine St</t>
  </si>
  <si>
    <t>551 1st Ave</t>
  </si>
  <si>
    <t>252 Pine St</t>
  </si>
  <si>
    <t>553 1st Ave</t>
  </si>
  <si>
    <t>277 Pine St</t>
  </si>
  <si>
    <t>172 Oak Ave</t>
  </si>
  <si>
    <t>709 Pine St</t>
  </si>
  <si>
    <t>852 1st Ave</t>
  </si>
  <si>
    <t>881 Oak Ave</t>
  </si>
  <si>
    <t>786 Main St</t>
  </si>
  <si>
    <t>985 Pine St</t>
  </si>
  <si>
    <t>373 Pine St</t>
  </si>
  <si>
    <t>665 Maple Rd</t>
  </si>
  <si>
    <t>349 Maple Rd</t>
  </si>
  <si>
    <t>373 Main St</t>
  </si>
  <si>
    <t>486 Maple Rd</t>
  </si>
  <si>
    <t>779 Oak Ave</t>
  </si>
  <si>
    <t>519 Oak Ave</t>
  </si>
  <si>
    <t>741 Maple Rd</t>
  </si>
  <si>
    <t>554 Oak Ave</t>
  </si>
  <si>
    <t>911 Oak Ave</t>
  </si>
  <si>
    <t>782 Main St</t>
  </si>
  <si>
    <t>303 Maple Rd</t>
  </si>
  <si>
    <t>679 Main St</t>
  </si>
  <si>
    <t>885 Oak Ave</t>
  </si>
  <si>
    <t>305 Oak Ave</t>
  </si>
  <si>
    <t>579 Main St</t>
  </si>
  <si>
    <t>477 1st Ave</t>
  </si>
  <si>
    <t>763 Main St</t>
  </si>
  <si>
    <t>564 1st Ave</t>
  </si>
  <si>
    <t>479 Oak Ave</t>
  </si>
  <si>
    <t>193 Oak Ave</t>
  </si>
  <si>
    <t>932 Oak Ave</t>
  </si>
  <si>
    <t>234 Main St</t>
  </si>
  <si>
    <t>559 1st Ave</t>
  </si>
  <si>
    <t>967 Maple Rd</t>
  </si>
  <si>
    <t>699 Pine St</t>
  </si>
  <si>
    <t>998 Pine St</t>
  </si>
  <si>
    <t>361 1st Ave</t>
  </si>
  <si>
    <t>700 Pine St</t>
  </si>
  <si>
    <t>258 Maple Rd</t>
  </si>
  <si>
    <t>728 Pine St</t>
  </si>
  <si>
    <t>171 Oak Ave</t>
  </si>
  <si>
    <t>710 Main St</t>
  </si>
  <si>
    <t>320 Pine St</t>
  </si>
  <si>
    <t>156 Main St</t>
  </si>
  <si>
    <t>489 Pine St</t>
  </si>
  <si>
    <t>982 1st Ave</t>
  </si>
  <si>
    <t>571 1st Ave</t>
  </si>
  <si>
    <t>897 Oak Ave</t>
  </si>
  <si>
    <t>256 Main St</t>
  </si>
  <si>
    <t>423 Oak Ave</t>
  </si>
  <si>
    <t>158 1st Ave</t>
  </si>
  <si>
    <t>929 Pine St</t>
  </si>
  <si>
    <t>616 Oak Ave</t>
  </si>
  <si>
    <t>795 Pine St</t>
  </si>
  <si>
    <t>441 Main St</t>
  </si>
  <si>
    <t>910 1st Ave</t>
  </si>
  <si>
    <t>997 Pine St</t>
  </si>
  <si>
    <t>725 1st Ave</t>
  </si>
  <si>
    <t>896 Maple Rd</t>
  </si>
  <si>
    <t>667 Main St</t>
  </si>
  <si>
    <t>936 Maple Rd</t>
  </si>
  <si>
    <t>959 1st Ave</t>
  </si>
  <si>
    <t>320 Oak Ave</t>
  </si>
  <si>
    <t>568 Main St</t>
  </si>
  <si>
    <t>346 Pine St</t>
  </si>
  <si>
    <t>994 Maple Rd</t>
  </si>
  <si>
    <t>137 1st Ave</t>
  </si>
  <si>
    <t>295 1st Ave</t>
  </si>
  <si>
    <t>608 Maple Rd</t>
  </si>
  <si>
    <t>205 Main St</t>
  </si>
  <si>
    <t>729 Maple Rd</t>
  </si>
  <si>
    <t>135 Oak Ave</t>
  </si>
  <si>
    <t>687 Oak Ave</t>
  </si>
  <si>
    <t>220 1st Ave</t>
  </si>
  <si>
    <t>555 Main St</t>
  </si>
  <si>
    <t>834 Maple Rd</t>
  </si>
  <si>
    <t>755 Pine St</t>
  </si>
  <si>
    <t>330 1st Ave</t>
  </si>
  <si>
    <t>272 Pine St</t>
  </si>
  <si>
    <t>889 Pine St</t>
  </si>
  <si>
    <t>515 1st Ave</t>
  </si>
  <si>
    <t>851 1st Ave</t>
  </si>
  <si>
    <t>397 Maple Rd</t>
  </si>
  <si>
    <t>578 Maple Rd</t>
  </si>
  <si>
    <t>711 Maple Rd</t>
  </si>
  <si>
    <t>675 Oak Ave</t>
  </si>
  <si>
    <t>199 Maple Rd</t>
  </si>
  <si>
    <t>830 1st Ave</t>
  </si>
  <si>
    <t>857 1st Ave</t>
  </si>
  <si>
    <t>526 Pine St</t>
  </si>
  <si>
    <t>838 Pine St</t>
  </si>
  <si>
    <t>520 Pine St</t>
  </si>
  <si>
    <t>570 Pine St</t>
  </si>
  <si>
    <t>404 1st Ave</t>
  </si>
  <si>
    <t>938 1st Ave</t>
  </si>
  <si>
    <t>377 Pine St</t>
  </si>
  <si>
    <t>202 Maple Rd</t>
  </si>
  <si>
    <t>766 Oak Ave</t>
  </si>
  <si>
    <t>527 Oak Ave</t>
  </si>
  <si>
    <t>391 Maple Rd</t>
  </si>
  <si>
    <t>763 1st Ave</t>
  </si>
  <si>
    <t>435 Main St</t>
  </si>
  <si>
    <t>409 Pine St</t>
  </si>
  <si>
    <t>888 1st Ave</t>
  </si>
  <si>
    <t>662 Maple Rd</t>
  </si>
  <si>
    <t>163 Pine St</t>
  </si>
  <si>
    <t>622 Maple Rd</t>
  </si>
  <si>
    <t>360 Main St</t>
  </si>
  <si>
    <t>393 Maple Rd</t>
  </si>
  <si>
    <t>236 1st Ave</t>
  </si>
  <si>
    <t>644 Maple Rd</t>
  </si>
  <si>
    <t>346 Oak Ave</t>
  </si>
  <si>
    <t>243 Pine St</t>
  </si>
  <si>
    <t>407 1st Ave</t>
  </si>
  <si>
    <t>490 Pine St</t>
  </si>
  <si>
    <t>925 Maple Rd</t>
  </si>
  <si>
    <t>967 1st Ave</t>
  </si>
  <si>
    <t>787 Pine St</t>
  </si>
  <si>
    <t>348 Pine St</t>
  </si>
  <si>
    <t>609 Maple Rd</t>
  </si>
  <si>
    <t>666 Pine St</t>
  </si>
  <si>
    <t>445 1st Ave</t>
  </si>
  <si>
    <t>757 Main St</t>
  </si>
  <si>
    <t>109 Oak Ave</t>
  </si>
  <si>
    <t>839 1st Ave</t>
  </si>
  <si>
    <t>639 1st Ave</t>
  </si>
  <si>
    <t>769 Main St</t>
  </si>
  <si>
    <t>677 Main St</t>
  </si>
  <si>
    <t>793 Pine St</t>
  </si>
  <si>
    <t>719 Pine St</t>
  </si>
  <si>
    <t>699 Maple Rd</t>
  </si>
  <si>
    <t>498 1st Ave</t>
  </si>
  <si>
    <t>668 Pine St</t>
  </si>
  <si>
    <t>497 Main St</t>
  </si>
  <si>
    <t>545 1st Ave</t>
  </si>
  <si>
    <t>106 Maple Rd</t>
  </si>
  <si>
    <t>916 1st Ave</t>
  </si>
  <si>
    <t>590 Pine St</t>
  </si>
  <si>
    <t>708 Main St</t>
  </si>
  <si>
    <t>110 Main St</t>
  </si>
  <si>
    <t>807 Pine St</t>
  </si>
  <si>
    <t>566 Oak Ave</t>
  </si>
  <si>
    <t>290 Maple Rd</t>
  </si>
  <si>
    <t>928 Main St</t>
  </si>
  <si>
    <t>420 Pine St</t>
  </si>
  <si>
    <t>704 Main St</t>
  </si>
  <si>
    <t>533 Oak Ave</t>
  </si>
  <si>
    <t>109 Maple Rd</t>
  </si>
  <si>
    <t>678 Main St</t>
  </si>
  <si>
    <t>215 Pine St</t>
  </si>
  <si>
    <t>869 Oak Ave</t>
  </si>
  <si>
    <t>805 1st Ave</t>
  </si>
  <si>
    <t>431 1st Ave</t>
  </si>
  <si>
    <t>818 Oak Ave</t>
  </si>
  <si>
    <t>177 Main St</t>
  </si>
  <si>
    <t>195 Maple Rd</t>
  </si>
  <si>
    <t>679 Maple Rd</t>
  </si>
  <si>
    <t>307 Oak Ave</t>
  </si>
  <si>
    <t>412 Oak Ave</t>
  </si>
  <si>
    <t>451 Main St</t>
  </si>
  <si>
    <t>756 Oak Ave</t>
  </si>
  <si>
    <t>730 Maple Rd</t>
  </si>
  <si>
    <t>760 Main St</t>
  </si>
  <si>
    <t>402 Main St</t>
  </si>
  <si>
    <t>235 Maple Rd</t>
  </si>
  <si>
    <t>908 Maple Rd</t>
  </si>
  <si>
    <t>623 Oak Ave</t>
  </si>
  <si>
    <t>544 Main St</t>
  </si>
  <si>
    <t>635 Pine St</t>
  </si>
  <si>
    <t>829 Pine St</t>
  </si>
  <si>
    <t>790 Main St</t>
  </si>
  <si>
    <t>666 Maple Rd</t>
  </si>
  <si>
    <t>283 Oak Ave</t>
  </si>
  <si>
    <t>677 1st Ave</t>
  </si>
  <si>
    <t>454 Main St</t>
  </si>
  <si>
    <t>245 1st Ave</t>
  </si>
  <si>
    <t>752 Maple Rd</t>
  </si>
  <si>
    <t>951 1st Ave</t>
  </si>
  <si>
    <t>516 Main St</t>
  </si>
  <si>
    <t>717 Main St</t>
  </si>
  <si>
    <t>131 Maple Rd</t>
  </si>
  <si>
    <t>302 Maple Rd</t>
  </si>
  <si>
    <t>319 Oak Ave</t>
  </si>
  <si>
    <t>492 Oak Ave</t>
  </si>
  <si>
    <t>452 Pine St</t>
  </si>
  <si>
    <t>Condo</t>
  </si>
  <si>
    <t>Single Family</t>
  </si>
  <si>
    <t>Townhouse</t>
  </si>
  <si>
    <t>Multi-Family</t>
  </si>
  <si>
    <t>Loft</t>
  </si>
  <si>
    <t>Good</t>
  </si>
  <si>
    <t>Fair</t>
  </si>
  <si>
    <t>Excellent</t>
  </si>
  <si>
    <t>Needs Renovation</t>
  </si>
  <si>
    <t>Needs roof repair</t>
  </si>
  <si>
    <t>Recently renovated kitchen</t>
  </si>
  <si>
    <t>Vacant</t>
  </si>
  <si>
    <t>Tenant-occupied</t>
  </si>
  <si>
    <t>New HVAC</t>
  </si>
  <si>
    <t>Pine St</t>
  </si>
  <si>
    <t>Needs Roof Repair</t>
  </si>
  <si>
    <t>Maple Rd</t>
  </si>
  <si>
    <t>Main St</t>
  </si>
  <si>
    <t>Recently Renovated Kitchen</t>
  </si>
  <si>
    <t>OUTLIER</t>
  </si>
  <si>
    <t>Oak Ave</t>
  </si>
  <si>
    <t>1St Ave</t>
  </si>
  <si>
    <t>Tenant-Occupied</t>
  </si>
  <si>
    <t>New Hvac</t>
  </si>
  <si>
    <t>Soma</t>
  </si>
  <si>
    <t xml:space="preserve">Unkown </t>
  </si>
  <si>
    <t>Lodo</t>
  </si>
  <si>
    <t>Rino</t>
  </si>
  <si>
    <t>Area code</t>
  </si>
  <si>
    <t>Address.2</t>
  </si>
  <si>
    <t>Custom</t>
  </si>
  <si>
    <t>Row Labels</t>
  </si>
  <si>
    <t>Grand Total</t>
  </si>
  <si>
    <t>Column Labels</t>
  </si>
  <si>
    <t>city</t>
  </si>
  <si>
    <t>Average of Price_USD</t>
  </si>
  <si>
    <t xml:space="preserve">property condition impact of price </t>
  </si>
  <si>
    <t>Total Listings</t>
  </si>
  <si>
    <t>Avg Price (USD)</t>
  </si>
  <si>
    <t>Median Price (USD)</t>
  </si>
  <si>
    <t>Avg Price per sqft</t>
  </si>
  <si>
    <t xml:space="preserve"> KPI's</t>
  </si>
  <si>
    <t xml:space="preserve"> average  price per city</t>
  </si>
  <si>
    <t>Average Price</t>
  </si>
  <si>
    <t xml:space="preserve">display values </t>
  </si>
  <si>
    <t>year</t>
  </si>
  <si>
    <t>Sum of Price_per_sqft</t>
  </si>
  <si>
    <t>1.17m</t>
  </si>
  <si>
    <t>1.15m</t>
  </si>
  <si>
    <t>Average of Price_per_sqft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</si>
</sst>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b/>
      <sz val="18"/>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3" fillId="0" borderId="0" xfId="0" applyFont="1" applyAlignment="1">
      <alignment horizontal="center"/>
    </xf>
    <xf numFmtId="0" fontId="1" fillId="3" borderId="0" xfId="0" applyFont="1" applyFill="1"/>
    <xf numFmtId="2" fontId="0" fillId="0" borderId="0" xfId="0" applyNumberFormat="1"/>
    <xf numFmtId="0" fontId="1" fillId="2" borderId="0" xfId="0" applyFont="1" applyFill="1" applyAlignment="1">
      <alignment horizontal="center"/>
    </xf>
    <xf numFmtId="0" fontId="0" fillId="0" borderId="0" xfId="0" applyAlignment="1">
      <alignment horizontal="center"/>
    </xf>
  </cellXfs>
  <cellStyles count="1">
    <cellStyle name="Normal" xfId="0" builtinId="0"/>
  </cellStyles>
  <dxfs count="11">
    <dxf>
      <numFmt numFmtId="2" formatCode="0.00"/>
    </dxf>
    <dxf>
      <alignment wrapText="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00CAD5"/>
      <color rgb="FF00CAD1"/>
      <color rgb="FF00DBE6"/>
      <color rgb="FF00C6D1"/>
      <color rgb="FFA7FBF7"/>
      <color rgb="FFB5E0ED"/>
      <color rgb="FF5698E0"/>
      <color rgb="FF97D2E5"/>
      <color rgb="FF67BED9"/>
      <color rgb="FF2596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[housing_dataset.xlsx]average price per city!PivotTable1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price per city'!$B$3</c:f>
              <c:strCache>
                <c:ptCount val="1"/>
                <c:pt idx="0">
                  <c:v>Total</c:v>
                </c:pt>
              </c:strCache>
            </c:strRef>
          </c:tx>
          <c:spPr>
            <a:solidFill>
              <a:schemeClr val="accent1"/>
            </a:solidFill>
            <a:ln>
              <a:noFill/>
            </a:ln>
            <a:effectLst/>
          </c:spPr>
          <c:invertIfNegative val="0"/>
          <c:cat>
            <c:strRef>
              <c:f>'average price per city'!$A$4:$A$14</c:f>
              <c:strCache>
                <c:ptCount val="10"/>
                <c:pt idx="0">
                  <c:v>New York</c:v>
                </c:pt>
                <c:pt idx="1">
                  <c:v>Portland</c:v>
                </c:pt>
                <c:pt idx="2">
                  <c:v>Los Angeles</c:v>
                </c:pt>
                <c:pt idx="3">
                  <c:v>Denver</c:v>
                </c:pt>
                <c:pt idx="4">
                  <c:v>Miami</c:v>
                </c:pt>
                <c:pt idx="5">
                  <c:v>San Francisco</c:v>
                </c:pt>
                <c:pt idx="6">
                  <c:v>Boston</c:v>
                </c:pt>
                <c:pt idx="7">
                  <c:v>Chicago</c:v>
                </c:pt>
                <c:pt idx="8">
                  <c:v>Seattle</c:v>
                </c:pt>
                <c:pt idx="9">
                  <c:v>Austin</c:v>
                </c:pt>
              </c:strCache>
            </c:strRef>
          </c:cat>
          <c:val>
            <c:numRef>
              <c:f>'average price per city'!$B$4:$B$14</c:f>
              <c:numCache>
                <c:formatCode>General</c:formatCode>
                <c:ptCount val="10"/>
                <c:pt idx="0">
                  <c:v>1468669.2552631579</c:v>
                </c:pt>
                <c:pt idx="1">
                  <c:v>1396037.7464285712</c:v>
                </c:pt>
                <c:pt idx="2">
                  <c:v>1328947.7083999997</c:v>
                </c:pt>
                <c:pt idx="3">
                  <c:v>1205576.8125000002</c:v>
                </c:pt>
                <c:pt idx="4">
                  <c:v>1200018.1542105265</c:v>
                </c:pt>
                <c:pt idx="5">
                  <c:v>1128202.9748387097</c:v>
                </c:pt>
                <c:pt idx="6">
                  <c:v>1126089.7323333335</c:v>
                </c:pt>
                <c:pt idx="7">
                  <c:v>1028430.7129166668</c:v>
                </c:pt>
                <c:pt idx="8">
                  <c:v>944836.4800000001</c:v>
                </c:pt>
                <c:pt idx="9">
                  <c:v>917417.65423076914</c:v>
                </c:pt>
              </c:numCache>
            </c:numRef>
          </c:val>
          <c:extLst>
            <c:ext xmlns:c16="http://schemas.microsoft.com/office/drawing/2014/chart" uri="{C3380CC4-5D6E-409C-BE32-E72D297353CC}">
              <c16:uniqueId val="{00000000-1E87-40FE-A487-B7A93948DFC1}"/>
            </c:ext>
          </c:extLst>
        </c:ser>
        <c:dLbls>
          <c:showLegendKey val="0"/>
          <c:showVal val="0"/>
          <c:showCatName val="0"/>
          <c:showSerName val="0"/>
          <c:showPercent val="0"/>
          <c:showBubbleSize val="0"/>
        </c:dLbls>
        <c:gapWidth val="219"/>
        <c:overlap val="-27"/>
        <c:axId val="513336784"/>
        <c:axId val="513337744"/>
      </c:barChart>
      <c:catAx>
        <c:axId val="51333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37744"/>
        <c:crosses val="autoZero"/>
        <c:auto val="1"/>
        <c:lblAlgn val="ctr"/>
        <c:lblOffset val="100"/>
        <c:noMultiLvlLbl val="0"/>
      </c:catAx>
      <c:valAx>
        <c:axId val="51333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3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[housing_dataset.xlsx]average price per city!PivotTable2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price per city'!$B$22</c:f>
              <c:strCache>
                <c:ptCount val="1"/>
                <c:pt idx="0">
                  <c:v>Total</c:v>
                </c:pt>
              </c:strCache>
            </c:strRef>
          </c:tx>
          <c:spPr>
            <a:solidFill>
              <a:schemeClr val="accent1"/>
            </a:solidFill>
            <a:ln>
              <a:noFill/>
            </a:ln>
            <a:effectLst/>
          </c:spPr>
          <c:invertIfNegative val="0"/>
          <c:cat>
            <c:strRef>
              <c:f>'average price per city'!$A$23:$A$33</c:f>
              <c:strCache>
                <c:ptCount val="10"/>
                <c:pt idx="0">
                  <c:v>Los Angeles</c:v>
                </c:pt>
                <c:pt idx="1">
                  <c:v>New York</c:v>
                </c:pt>
                <c:pt idx="2">
                  <c:v>Portland</c:v>
                </c:pt>
                <c:pt idx="3">
                  <c:v>Miami</c:v>
                </c:pt>
                <c:pt idx="4">
                  <c:v>Denver</c:v>
                </c:pt>
                <c:pt idx="5">
                  <c:v>Boston</c:v>
                </c:pt>
                <c:pt idx="6">
                  <c:v>Chicago</c:v>
                </c:pt>
                <c:pt idx="7">
                  <c:v>San Francisco</c:v>
                </c:pt>
                <c:pt idx="8">
                  <c:v>Austin</c:v>
                </c:pt>
                <c:pt idx="9">
                  <c:v>Seattle</c:v>
                </c:pt>
              </c:strCache>
            </c:strRef>
          </c:cat>
          <c:val>
            <c:numRef>
              <c:f>'average price per city'!$B$23:$B$33</c:f>
              <c:numCache>
                <c:formatCode>0.00</c:formatCode>
                <c:ptCount val="10"/>
                <c:pt idx="0">
                  <c:v>621.83679999999993</c:v>
                </c:pt>
                <c:pt idx="1">
                  <c:v>617.5547368421054</c:v>
                </c:pt>
                <c:pt idx="2">
                  <c:v>616.50357142857149</c:v>
                </c:pt>
                <c:pt idx="3">
                  <c:v>570.0315789473683</c:v>
                </c:pt>
                <c:pt idx="4">
                  <c:v>553.62178571428569</c:v>
                </c:pt>
                <c:pt idx="5">
                  <c:v>515.89700000000016</c:v>
                </c:pt>
                <c:pt idx="6">
                  <c:v>496.84625</c:v>
                </c:pt>
                <c:pt idx="7">
                  <c:v>488.2080645161289</c:v>
                </c:pt>
                <c:pt idx="8">
                  <c:v>453.98769230769233</c:v>
                </c:pt>
                <c:pt idx="9">
                  <c:v>436.79949999999991</c:v>
                </c:pt>
              </c:numCache>
            </c:numRef>
          </c:val>
          <c:extLst>
            <c:ext xmlns:c16="http://schemas.microsoft.com/office/drawing/2014/chart" uri="{C3380CC4-5D6E-409C-BE32-E72D297353CC}">
              <c16:uniqueId val="{00000000-DA7C-4374-BE94-3DE745F4A120}"/>
            </c:ext>
          </c:extLst>
        </c:ser>
        <c:dLbls>
          <c:showLegendKey val="0"/>
          <c:showVal val="0"/>
          <c:showCatName val="0"/>
          <c:showSerName val="0"/>
          <c:showPercent val="0"/>
          <c:showBubbleSize val="0"/>
        </c:dLbls>
        <c:gapWidth val="219"/>
        <c:overlap val="-27"/>
        <c:axId val="556535968"/>
        <c:axId val="556536448"/>
      </c:barChart>
      <c:catAx>
        <c:axId val="55653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536448"/>
        <c:crosses val="autoZero"/>
        <c:auto val="1"/>
        <c:lblAlgn val="ctr"/>
        <c:lblOffset val="100"/>
        <c:noMultiLvlLbl val="0"/>
      </c:catAx>
      <c:valAx>
        <c:axId val="556536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53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[housing_dataset.xlsx]condition wise proce!PivotTable3</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'condition wise proce'!$B$3:$B$4</c:f>
              <c:strCache>
                <c:ptCount val="1"/>
                <c:pt idx="0">
                  <c:v>Austin</c:v>
                </c:pt>
              </c:strCache>
            </c:strRef>
          </c:tx>
          <c:spPr>
            <a:ln w="28575" cap="rnd">
              <a:solidFill>
                <a:schemeClr val="accent1"/>
              </a:solidFill>
              <a:round/>
            </a:ln>
            <a:effectLst/>
          </c:spPr>
          <c:marker>
            <c:symbol val="none"/>
          </c:marker>
          <c:cat>
            <c:strRef>
              <c:f>'condition wise proce'!$A$5:$A$9</c:f>
              <c:strCache>
                <c:ptCount val="4"/>
                <c:pt idx="0">
                  <c:v>Excellent</c:v>
                </c:pt>
                <c:pt idx="1">
                  <c:v>Fair</c:v>
                </c:pt>
                <c:pt idx="2">
                  <c:v>Good</c:v>
                </c:pt>
                <c:pt idx="3">
                  <c:v>Needs Renovation</c:v>
                </c:pt>
              </c:strCache>
            </c:strRef>
          </c:cat>
          <c:val>
            <c:numRef>
              <c:f>'condition wise proce'!$B$5:$B$9</c:f>
              <c:numCache>
                <c:formatCode>General</c:formatCode>
                <c:ptCount val="4"/>
                <c:pt idx="0">
                  <c:v>687492.10666666657</c:v>
                </c:pt>
                <c:pt idx="1">
                  <c:v>992426.32555555552</c:v>
                </c:pt>
                <c:pt idx="2">
                  <c:v>918467.5542857144</c:v>
                </c:pt>
              </c:numCache>
            </c:numRef>
          </c:val>
          <c:smooth val="0"/>
          <c:extLst>
            <c:ext xmlns:c16="http://schemas.microsoft.com/office/drawing/2014/chart" uri="{C3380CC4-5D6E-409C-BE32-E72D297353CC}">
              <c16:uniqueId val="{00000000-523A-4DC8-9552-38243BD4E09D}"/>
            </c:ext>
          </c:extLst>
        </c:ser>
        <c:ser>
          <c:idx val="1"/>
          <c:order val="1"/>
          <c:tx>
            <c:strRef>
              <c:f>'condition wise proce'!$C$3:$C$4</c:f>
              <c:strCache>
                <c:ptCount val="1"/>
                <c:pt idx="0">
                  <c:v>Boston</c:v>
                </c:pt>
              </c:strCache>
            </c:strRef>
          </c:tx>
          <c:spPr>
            <a:ln w="28575" cap="rnd">
              <a:solidFill>
                <a:schemeClr val="accent2"/>
              </a:solidFill>
              <a:round/>
            </a:ln>
            <a:effectLst/>
          </c:spPr>
          <c:marker>
            <c:symbol val="none"/>
          </c:marker>
          <c:cat>
            <c:strRef>
              <c:f>'condition wise proce'!$A$5:$A$9</c:f>
              <c:strCache>
                <c:ptCount val="4"/>
                <c:pt idx="0">
                  <c:v>Excellent</c:v>
                </c:pt>
                <c:pt idx="1">
                  <c:v>Fair</c:v>
                </c:pt>
                <c:pt idx="2">
                  <c:v>Good</c:v>
                </c:pt>
                <c:pt idx="3">
                  <c:v>Needs Renovation</c:v>
                </c:pt>
              </c:strCache>
            </c:strRef>
          </c:cat>
          <c:val>
            <c:numRef>
              <c:f>'condition wise proce'!$C$5:$C$9</c:f>
              <c:numCache>
                <c:formatCode>General</c:formatCode>
                <c:ptCount val="4"/>
                <c:pt idx="0">
                  <c:v>951611.48666666669</c:v>
                </c:pt>
                <c:pt idx="1">
                  <c:v>1086209.0160000001</c:v>
                </c:pt>
                <c:pt idx="2">
                  <c:v>1279490.0492307693</c:v>
                </c:pt>
                <c:pt idx="3">
                  <c:v>577562.25</c:v>
                </c:pt>
              </c:numCache>
            </c:numRef>
          </c:val>
          <c:smooth val="0"/>
          <c:extLst>
            <c:ext xmlns:c16="http://schemas.microsoft.com/office/drawing/2014/chart" uri="{C3380CC4-5D6E-409C-BE32-E72D297353CC}">
              <c16:uniqueId val="{00000000-E634-4955-941E-6EE2F18BFA3A}"/>
            </c:ext>
          </c:extLst>
        </c:ser>
        <c:ser>
          <c:idx val="2"/>
          <c:order val="2"/>
          <c:tx>
            <c:strRef>
              <c:f>'condition wise proce'!$D$3:$D$4</c:f>
              <c:strCache>
                <c:ptCount val="1"/>
                <c:pt idx="0">
                  <c:v>Chicago</c:v>
                </c:pt>
              </c:strCache>
            </c:strRef>
          </c:tx>
          <c:spPr>
            <a:ln w="28575" cap="rnd">
              <a:solidFill>
                <a:schemeClr val="accent3"/>
              </a:solidFill>
              <a:round/>
            </a:ln>
            <a:effectLst/>
          </c:spPr>
          <c:marker>
            <c:symbol val="none"/>
          </c:marker>
          <c:cat>
            <c:strRef>
              <c:f>'condition wise proce'!$A$5:$A$9</c:f>
              <c:strCache>
                <c:ptCount val="4"/>
                <c:pt idx="0">
                  <c:v>Excellent</c:v>
                </c:pt>
                <c:pt idx="1">
                  <c:v>Fair</c:v>
                </c:pt>
                <c:pt idx="2">
                  <c:v>Good</c:v>
                </c:pt>
                <c:pt idx="3">
                  <c:v>Needs Renovation</c:v>
                </c:pt>
              </c:strCache>
            </c:strRef>
          </c:cat>
          <c:val>
            <c:numRef>
              <c:f>'condition wise proce'!$D$5:$D$9</c:f>
              <c:numCache>
                <c:formatCode>General</c:formatCode>
                <c:ptCount val="4"/>
                <c:pt idx="0">
                  <c:v>987085.9483333336</c:v>
                </c:pt>
                <c:pt idx="1">
                  <c:v>1211881.0449999999</c:v>
                </c:pt>
                <c:pt idx="2">
                  <c:v>966567.60700000008</c:v>
                </c:pt>
                <c:pt idx="3">
                  <c:v>911429.54</c:v>
                </c:pt>
              </c:numCache>
            </c:numRef>
          </c:val>
          <c:smooth val="0"/>
          <c:extLst>
            <c:ext xmlns:c16="http://schemas.microsoft.com/office/drawing/2014/chart" uri="{C3380CC4-5D6E-409C-BE32-E72D297353CC}">
              <c16:uniqueId val="{00000001-E634-4955-941E-6EE2F18BFA3A}"/>
            </c:ext>
          </c:extLst>
        </c:ser>
        <c:ser>
          <c:idx val="3"/>
          <c:order val="3"/>
          <c:tx>
            <c:strRef>
              <c:f>'condition wise proce'!$E$3:$E$4</c:f>
              <c:strCache>
                <c:ptCount val="1"/>
                <c:pt idx="0">
                  <c:v>Denver</c:v>
                </c:pt>
              </c:strCache>
            </c:strRef>
          </c:tx>
          <c:spPr>
            <a:ln w="28575" cap="rnd">
              <a:solidFill>
                <a:schemeClr val="accent4"/>
              </a:solidFill>
              <a:round/>
            </a:ln>
            <a:effectLst/>
          </c:spPr>
          <c:marker>
            <c:symbol val="none"/>
          </c:marker>
          <c:cat>
            <c:strRef>
              <c:f>'condition wise proce'!$A$5:$A$9</c:f>
              <c:strCache>
                <c:ptCount val="4"/>
                <c:pt idx="0">
                  <c:v>Excellent</c:v>
                </c:pt>
                <c:pt idx="1">
                  <c:v>Fair</c:v>
                </c:pt>
                <c:pt idx="2">
                  <c:v>Good</c:v>
                </c:pt>
                <c:pt idx="3">
                  <c:v>Needs Renovation</c:v>
                </c:pt>
              </c:strCache>
            </c:strRef>
          </c:cat>
          <c:val>
            <c:numRef>
              <c:f>'condition wise proce'!$E$5:$E$9</c:f>
              <c:numCache>
                <c:formatCode>General</c:formatCode>
                <c:ptCount val="4"/>
                <c:pt idx="0">
                  <c:v>1209467.4211111113</c:v>
                </c:pt>
                <c:pt idx="1">
                  <c:v>1027430.0462499999</c:v>
                </c:pt>
                <c:pt idx="2">
                  <c:v>1276196.875</c:v>
                </c:pt>
                <c:pt idx="3">
                  <c:v>1480642.8633333333</c:v>
                </c:pt>
              </c:numCache>
            </c:numRef>
          </c:val>
          <c:smooth val="0"/>
          <c:extLst>
            <c:ext xmlns:c16="http://schemas.microsoft.com/office/drawing/2014/chart" uri="{C3380CC4-5D6E-409C-BE32-E72D297353CC}">
              <c16:uniqueId val="{00000002-E634-4955-941E-6EE2F18BFA3A}"/>
            </c:ext>
          </c:extLst>
        </c:ser>
        <c:ser>
          <c:idx val="4"/>
          <c:order val="4"/>
          <c:tx>
            <c:strRef>
              <c:f>'condition wise proce'!$F$3:$F$4</c:f>
              <c:strCache>
                <c:ptCount val="1"/>
                <c:pt idx="0">
                  <c:v>Los Angeles</c:v>
                </c:pt>
              </c:strCache>
            </c:strRef>
          </c:tx>
          <c:spPr>
            <a:ln w="28575" cap="rnd">
              <a:solidFill>
                <a:schemeClr val="accent5"/>
              </a:solidFill>
              <a:round/>
            </a:ln>
            <a:effectLst/>
          </c:spPr>
          <c:marker>
            <c:symbol val="none"/>
          </c:marker>
          <c:cat>
            <c:strRef>
              <c:f>'condition wise proce'!$A$5:$A$9</c:f>
              <c:strCache>
                <c:ptCount val="4"/>
                <c:pt idx="0">
                  <c:v>Excellent</c:v>
                </c:pt>
                <c:pt idx="1">
                  <c:v>Fair</c:v>
                </c:pt>
                <c:pt idx="2">
                  <c:v>Good</c:v>
                </c:pt>
                <c:pt idx="3">
                  <c:v>Needs Renovation</c:v>
                </c:pt>
              </c:strCache>
            </c:strRef>
          </c:cat>
          <c:val>
            <c:numRef>
              <c:f>'condition wise proce'!$F$5:$F$9</c:f>
              <c:numCache>
                <c:formatCode>General</c:formatCode>
                <c:ptCount val="4"/>
                <c:pt idx="0">
                  <c:v>1212721.9583333333</c:v>
                </c:pt>
                <c:pt idx="1">
                  <c:v>1137144.0280000002</c:v>
                </c:pt>
                <c:pt idx="2">
                  <c:v>1563659.5199999998</c:v>
                </c:pt>
                <c:pt idx="3">
                  <c:v>1020462.0333333333</c:v>
                </c:pt>
              </c:numCache>
            </c:numRef>
          </c:val>
          <c:smooth val="0"/>
          <c:extLst>
            <c:ext xmlns:c16="http://schemas.microsoft.com/office/drawing/2014/chart" uri="{C3380CC4-5D6E-409C-BE32-E72D297353CC}">
              <c16:uniqueId val="{00000003-E634-4955-941E-6EE2F18BFA3A}"/>
            </c:ext>
          </c:extLst>
        </c:ser>
        <c:ser>
          <c:idx val="5"/>
          <c:order val="5"/>
          <c:tx>
            <c:strRef>
              <c:f>'condition wise proce'!$G$3:$G$4</c:f>
              <c:strCache>
                <c:ptCount val="1"/>
                <c:pt idx="0">
                  <c:v>Miami</c:v>
                </c:pt>
              </c:strCache>
            </c:strRef>
          </c:tx>
          <c:spPr>
            <a:ln w="28575" cap="rnd">
              <a:solidFill>
                <a:schemeClr val="accent6"/>
              </a:solidFill>
              <a:round/>
            </a:ln>
            <a:effectLst/>
          </c:spPr>
          <c:marker>
            <c:symbol val="none"/>
          </c:marker>
          <c:cat>
            <c:strRef>
              <c:f>'condition wise proce'!$A$5:$A$9</c:f>
              <c:strCache>
                <c:ptCount val="4"/>
                <c:pt idx="0">
                  <c:v>Excellent</c:v>
                </c:pt>
                <c:pt idx="1">
                  <c:v>Fair</c:v>
                </c:pt>
                <c:pt idx="2">
                  <c:v>Good</c:v>
                </c:pt>
                <c:pt idx="3">
                  <c:v>Needs Renovation</c:v>
                </c:pt>
              </c:strCache>
            </c:strRef>
          </c:cat>
          <c:val>
            <c:numRef>
              <c:f>'condition wise proce'!$G$5:$G$9</c:f>
              <c:numCache>
                <c:formatCode>General</c:formatCode>
                <c:ptCount val="4"/>
                <c:pt idx="0">
                  <c:v>1164472.4466666665</c:v>
                </c:pt>
                <c:pt idx="1">
                  <c:v>1394520.8149999999</c:v>
                </c:pt>
                <c:pt idx="2">
                  <c:v>1137269.6655555558</c:v>
                </c:pt>
              </c:numCache>
            </c:numRef>
          </c:val>
          <c:smooth val="0"/>
          <c:extLst>
            <c:ext xmlns:c16="http://schemas.microsoft.com/office/drawing/2014/chart" uri="{C3380CC4-5D6E-409C-BE32-E72D297353CC}">
              <c16:uniqueId val="{00000004-E634-4955-941E-6EE2F18BFA3A}"/>
            </c:ext>
          </c:extLst>
        </c:ser>
        <c:ser>
          <c:idx val="6"/>
          <c:order val="6"/>
          <c:tx>
            <c:strRef>
              <c:f>'condition wise proce'!$H$3:$H$4</c:f>
              <c:strCache>
                <c:ptCount val="1"/>
                <c:pt idx="0">
                  <c:v>New York</c:v>
                </c:pt>
              </c:strCache>
            </c:strRef>
          </c:tx>
          <c:spPr>
            <a:ln w="28575" cap="rnd">
              <a:solidFill>
                <a:schemeClr val="accent1">
                  <a:lumMod val="60000"/>
                </a:schemeClr>
              </a:solidFill>
              <a:round/>
            </a:ln>
            <a:effectLst/>
          </c:spPr>
          <c:marker>
            <c:symbol val="none"/>
          </c:marker>
          <c:cat>
            <c:strRef>
              <c:f>'condition wise proce'!$A$5:$A$9</c:f>
              <c:strCache>
                <c:ptCount val="4"/>
                <c:pt idx="0">
                  <c:v>Excellent</c:v>
                </c:pt>
                <c:pt idx="1">
                  <c:v>Fair</c:v>
                </c:pt>
                <c:pt idx="2">
                  <c:v>Good</c:v>
                </c:pt>
                <c:pt idx="3">
                  <c:v>Needs Renovation</c:v>
                </c:pt>
              </c:strCache>
            </c:strRef>
          </c:cat>
          <c:val>
            <c:numRef>
              <c:f>'condition wise proce'!$H$5:$H$9</c:f>
              <c:numCache>
                <c:formatCode>General</c:formatCode>
                <c:ptCount val="4"/>
                <c:pt idx="0">
                  <c:v>1362953.0066666666</c:v>
                </c:pt>
                <c:pt idx="1">
                  <c:v>1531637.0733333332</c:v>
                </c:pt>
                <c:pt idx="2">
                  <c:v>1511826.575</c:v>
                </c:pt>
                <c:pt idx="3">
                  <c:v>1466215.9200000002</c:v>
                </c:pt>
              </c:numCache>
            </c:numRef>
          </c:val>
          <c:smooth val="0"/>
          <c:extLst>
            <c:ext xmlns:c16="http://schemas.microsoft.com/office/drawing/2014/chart" uri="{C3380CC4-5D6E-409C-BE32-E72D297353CC}">
              <c16:uniqueId val="{00000005-E634-4955-941E-6EE2F18BFA3A}"/>
            </c:ext>
          </c:extLst>
        </c:ser>
        <c:ser>
          <c:idx val="7"/>
          <c:order val="7"/>
          <c:tx>
            <c:strRef>
              <c:f>'condition wise proce'!$I$3:$I$4</c:f>
              <c:strCache>
                <c:ptCount val="1"/>
                <c:pt idx="0">
                  <c:v>Portland</c:v>
                </c:pt>
              </c:strCache>
            </c:strRef>
          </c:tx>
          <c:spPr>
            <a:ln w="28575" cap="rnd">
              <a:solidFill>
                <a:schemeClr val="accent2">
                  <a:lumMod val="60000"/>
                </a:schemeClr>
              </a:solidFill>
              <a:round/>
            </a:ln>
            <a:effectLst/>
          </c:spPr>
          <c:marker>
            <c:symbol val="none"/>
          </c:marker>
          <c:cat>
            <c:strRef>
              <c:f>'condition wise proce'!$A$5:$A$9</c:f>
              <c:strCache>
                <c:ptCount val="4"/>
                <c:pt idx="0">
                  <c:v>Excellent</c:v>
                </c:pt>
                <c:pt idx="1">
                  <c:v>Fair</c:v>
                </c:pt>
                <c:pt idx="2">
                  <c:v>Good</c:v>
                </c:pt>
                <c:pt idx="3">
                  <c:v>Needs Renovation</c:v>
                </c:pt>
              </c:strCache>
            </c:strRef>
          </c:cat>
          <c:val>
            <c:numRef>
              <c:f>'condition wise proce'!$I$5:$I$9</c:f>
              <c:numCache>
                <c:formatCode>General</c:formatCode>
                <c:ptCount val="4"/>
                <c:pt idx="0">
                  <c:v>1366331.8675000002</c:v>
                </c:pt>
                <c:pt idx="1">
                  <c:v>1201594.7657142857</c:v>
                </c:pt>
                <c:pt idx="2">
                  <c:v>1485505.0966666667</c:v>
                </c:pt>
                <c:pt idx="3">
                  <c:v>1921177.4400000002</c:v>
                </c:pt>
              </c:numCache>
            </c:numRef>
          </c:val>
          <c:smooth val="0"/>
          <c:extLst>
            <c:ext xmlns:c16="http://schemas.microsoft.com/office/drawing/2014/chart" uri="{C3380CC4-5D6E-409C-BE32-E72D297353CC}">
              <c16:uniqueId val="{00000006-E634-4955-941E-6EE2F18BFA3A}"/>
            </c:ext>
          </c:extLst>
        </c:ser>
        <c:ser>
          <c:idx val="8"/>
          <c:order val="8"/>
          <c:tx>
            <c:strRef>
              <c:f>'condition wise proce'!$J$3:$J$4</c:f>
              <c:strCache>
                <c:ptCount val="1"/>
                <c:pt idx="0">
                  <c:v>San Francisco</c:v>
                </c:pt>
              </c:strCache>
            </c:strRef>
          </c:tx>
          <c:spPr>
            <a:ln w="28575" cap="rnd">
              <a:solidFill>
                <a:schemeClr val="accent3">
                  <a:lumMod val="60000"/>
                </a:schemeClr>
              </a:solidFill>
              <a:round/>
            </a:ln>
            <a:effectLst/>
          </c:spPr>
          <c:marker>
            <c:symbol val="none"/>
          </c:marker>
          <c:cat>
            <c:strRef>
              <c:f>'condition wise proce'!$A$5:$A$9</c:f>
              <c:strCache>
                <c:ptCount val="4"/>
                <c:pt idx="0">
                  <c:v>Excellent</c:v>
                </c:pt>
                <c:pt idx="1">
                  <c:v>Fair</c:v>
                </c:pt>
                <c:pt idx="2">
                  <c:v>Good</c:v>
                </c:pt>
                <c:pt idx="3">
                  <c:v>Needs Renovation</c:v>
                </c:pt>
              </c:strCache>
            </c:strRef>
          </c:cat>
          <c:val>
            <c:numRef>
              <c:f>'condition wise proce'!$J$5:$J$9</c:f>
              <c:numCache>
                <c:formatCode>General</c:formatCode>
                <c:ptCount val="4"/>
                <c:pt idx="0">
                  <c:v>1006247.9042857143</c:v>
                </c:pt>
                <c:pt idx="1">
                  <c:v>1228149.5483333331</c:v>
                </c:pt>
                <c:pt idx="2">
                  <c:v>1132310.4785714285</c:v>
                </c:pt>
                <c:pt idx="3">
                  <c:v>1177328.2249999999</c:v>
                </c:pt>
              </c:numCache>
            </c:numRef>
          </c:val>
          <c:smooth val="0"/>
          <c:extLst>
            <c:ext xmlns:c16="http://schemas.microsoft.com/office/drawing/2014/chart" uri="{C3380CC4-5D6E-409C-BE32-E72D297353CC}">
              <c16:uniqueId val="{00000007-E634-4955-941E-6EE2F18BFA3A}"/>
            </c:ext>
          </c:extLst>
        </c:ser>
        <c:ser>
          <c:idx val="9"/>
          <c:order val="9"/>
          <c:tx>
            <c:strRef>
              <c:f>'condition wise proce'!$K$3:$K$4</c:f>
              <c:strCache>
                <c:ptCount val="1"/>
                <c:pt idx="0">
                  <c:v>Seattle</c:v>
                </c:pt>
              </c:strCache>
            </c:strRef>
          </c:tx>
          <c:spPr>
            <a:ln w="28575" cap="rnd">
              <a:solidFill>
                <a:schemeClr val="accent4">
                  <a:lumMod val="60000"/>
                </a:schemeClr>
              </a:solidFill>
              <a:round/>
            </a:ln>
            <a:effectLst/>
          </c:spPr>
          <c:marker>
            <c:symbol val="none"/>
          </c:marker>
          <c:cat>
            <c:strRef>
              <c:f>'condition wise proce'!$A$5:$A$9</c:f>
              <c:strCache>
                <c:ptCount val="4"/>
                <c:pt idx="0">
                  <c:v>Excellent</c:v>
                </c:pt>
                <c:pt idx="1">
                  <c:v>Fair</c:v>
                </c:pt>
                <c:pt idx="2">
                  <c:v>Good</c:v>
                </c:pt>
                <c:pt idx="3">
                  <c:v>Needs Renovation</c:v>
                </c:pt>
              </c:strCache>
            </c:strRef>
          </c:cat>
          <c:val>
            <c:numRef>
              <c:f>'condition wise proce'!$K$5:$K$9</c:f>
              <c:numCache>
                <c:formatCode>General</c:formatCode>
                <c:ptCount val="4"/>
                <c:pt idx="0">
                  <c:v>1068767.55</c:v>
                </c:pt>
                <c:pt idx="1">
                  <c:v>766692.37750000006</c:v>
                </c:pt>
                <c:pt idx="2">
                  <c:v>971050.57230769238</c:v>
                </c:pt>
              </c:numCache>
            </c:numRef>
          </c:val>
          <c:smooth val="0"/>
          <c:extLst>
            <c:ext xmlns:c16="http://schemas.microsoft.com/office/drawing/2014/chart" uri="{C3380CC4-5D6E-409C-BE32-E72D297353CC}">
              <c16:uniqueId val="{00000008-E634-4955-941E-6EE2F18BFA3A}"/>
            </c:ext>
          </c:extLst>
        </c:ser>
        <c:dLbls>
          <c:showLegendKey val="0"/>
          <c:showVal val="0"/>
          <c:showCatName val="0"/>
          <c:showSerName val="0"/>
          <c:showPercent val="0"/>
          <c:showBubbleSize val="0"/>
        </c:dLbls>
        <c:smooth val="0"/>
        <c:axId val="510033840"/>
        <c:axId val="510032880"/>
      </c:lineChart>
      <c:catAx>
        <c:axId val="51003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032880"/>
        <c:crosses val="autoZero"/>
        <c:auto val="1"/>
        <c:lblAlgn val="ctr"/>
        <c:lblOffset val="100"/>
        <c:noMultiLvlLbl val="0"/>
      </c:catAx>
      <c:valAx>
        <c:axId val="51003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03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[housing_dataset.xlsx]avg price!PivotTable22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price'!$B$3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'avg price'!$A$4:$A$11</c:f>
              <c:strCache>
                <c:ptCount val="7"/>
                <c:pt idx="0">
                  <c:v>2018</c:v>
                </c:pt>
                <c:pt idx="1">
                  <c:v>2019</c:v>
                </c:pt>
                <c:pt idx="2">
                  <c:v>2020</c:v>
                </c:pt>
                <c:pt idx="3">
                  <c:v>2021</c:v>
                </c:pt>
                <c:pt idx="4">
                  <c:v>2022</c:v>
                </c:pt>
                <c:pt idx="5">
                  <c:v>2023</c:v>
                </c:pt>
                <c:pt idx="6">
                  <c:v>2024</c:v>
                </c:pt>
              </c:strCache>
            </c:strRef>
          </c:cat>
          <c:val>
            <c:numRef>
              <c:f>'avg price'!$B$4:$B$11</c:f>
              <c:numCache>
                <c:formatCode>General</c:formatCode>
                <c:ptCount val="7"/>
                <c:pt idx="0">
                  <c:v>1261188.0145714283</c:v>
                </c:pt>
                <c:pt idx="1">
                  <c:v>1199908.4997619044</c:v>
                </c:pt>
                <c:pt idx="2">
                  <c:v>1168058.5610000002</c:v>
                </c:pt>
                <c:pt idx="3">
                  <c:v>1165060.2381249997</c:v>
                </c:pt>
                <c:pt idx="4">
                  <c:v>1081022.7056250002</c:v>
                </c:pt>
                <c:pt idx="5">
                  <c:v>1103320.6434285715</c:v>
                </c:pt>
                <c:pt idx="6">
                  <c:v>1202102.2727272729</c:v>
                </c:pt>
              </c:numCache>
            </c:numRef>
          </c:val>
          <c:smooth val="0"/>
          <c:extLst>
            <c:ext xmlns:c16="http://schemas.microsoft.com/office/drawing/2014/chart" uri="{C3380CC4-5D6E-409C-BE32-E72D297353CC}">
              <c16:uniqueId val="{00000000-D798-4A3A-9C67-8FA36C66120D}"/>
            </c:ext>
          </c:extLst>
        </c:ser>
        <c:dLbls>
          <c:showLegendKey val="0"/>
          <c:showVal val="0"/>
          <c:showCatName val="0"/>
          <c:showSerName val="0"/>
          <c:showPercent val="0"/>
          <c:showBubbleSize val="0"/>
        </c:dLbls>
        <c:marker val="1"/>
        <c:smooth val="0"/>
        <c:axId val="1608235600"/>
        <c:axId val="1608240400"/>
      </c:lineChart>
      <c:catAx>
        <c:axId val="160823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240400"/>
        <c:crosses val="autoZero"/>
        <c:auto val="1"/>
        <c:lblAlgn val="ctr"/>
        <c:lblOffset val="100"/>
        <c:noMultiLvlLbl val="0"/>
      </c:catAx>
      <c:valAx>
        <c:axId val="160824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23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[housing_dataset.xlsx]average price per city!PivotTable2</c:name>
    <c:fmtId val="12"/>
  </c:pivotSource>
  <c:chart>
    <c:title>
      <c:tx>
        <c:rich>
          <a:bodyPr rot="0" spcFirstLastPara="1" vertOverflow="ellipsis" vert="horz" wrap="square" anchor="ctr" anchorCtr="1"/>
          <a:lstStyle/>
          <a:p>
            <a:pPr algn="ctr" rtl="0">
              <a:defRPr lang="en-IN" sz="1600" b="1" i="0" u="none" strike="noStrike" kern="1200" cap="all" spc="0" normalizeH="0" baseline="0">
                <a:solidFill>
                  <a:sysClr val="windowText" lastClr="000000"/>
                </a:solidFill>
                <a:latin typeface="+mn-lt"/>
                <a:ea typeface="+mn-ea"/>
                <a:cs typeface="+mn-cs"/>
              </a:defRPr>
            </a:pPr>
            <a:r>
              <a:rPr lang="en-IN" sz="1600" b="1" i="0" u="none" strike="noStrike" kern="1200" cap="all" spc="0" normalizeH="0" baseline="0">
                <a:solidFill>
                  <a:sysClr val="windowText" lastClr="000000"/>
                </a:solidFill>
                <a:latin typeface="+mn-lt"/>
                <a:ea typeface="+mn-ea"/>
                <a:cs typeface="+mn-cs"/>
              </a:rPr>
              <a:t>Average Price per Sqft by City</a:t>
            </a:r>
          </a:p>
        </c:rich>
      </c:tx>
      <c:overlay val="0"/>
      <c:spPr>
        <a:noFill/>
        <a:ln>
          <a:noFill/>
        </a:ln>
        <a:effectLst/>
      </c:spPr>
      <c:txPr>
        <a:bodyPr rot="0" spcFirstLastPara="1" vertOverflow="ellipsis" vert="horz" wrap="square" anchor="ctr" anchorCtr="1"/>
        <a:lstStyle/>
        <a:p>
          <a:pPr algn="ctr" rtl="0">
            <a:defRPr lang="en-IN" sz="1600" b="1" i="0" u="none" strike="noStrike" kern="1200" cap="all" spc="0" normalizeH="0" baseline="0">
              <a:solidFill>
                <a:sysClr val="windowText" lastClr="0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price per city'!$B$22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1"/>
          <c:cat>
            <c:strRef>
              <c:f>'average price per city'!$A$23:$A$33</c:f>
              <c:strCache>
                <c:ptCount val="10"/>
                <c:pt idx="0">
                  <c:v>Los Angeles</c:v>
                </c:pt>
                <c:pt idx="1">
                  <c:v>New York</c:v>
                </c:pt>
                <c:pt idx="2">
                  <c:v>Portland</c:v>
                </c:pt>
                <c:pt idx="3">
                  <c:v>Miami</c:v>
                </c:pt>
                <c:pt idx="4">
                  <c:v>Denver</c:v>
                </c:pt>
                <c:pt idx="5">
                  <c:v>Boston</c:v>
                </c:pt>
                <c:pt idx="6">
                  <c:v>Chicago</c:v>
                </c:pt>
                <c:pt idx="7">
                  <c:v>San Francisco</c:v>
                </c:pt>
                <c:pt idx="8">
                  <c:v>Austin</c:v>
                </c:pt>
                <c:pt idx="9">
                  <c:v>Seattle</c:v>
                </c:pt>
              </c:strCache>
            </c:strRef>
          </c:cat>
          <c:val>
            <c:numRef>
              <c:f>'average price per city'!$B$23:$B$33</c:f>
              <c:numCache>
                <c:formatCode>0.00</c:formatCode>
                <c:ptCount val="10"/>
                <c:pt idx="0">
                  <c:v>621.83679999999993</c:v>
                </c:pt>
                <c:pt idx="1">
                  <c:v>617.5547368421054</c:v>
                </c:pt>
                <c:pt idx="2">
                  <c:v>616.50357142857149</c:v>
                </c:pt>
                <c:pt idx="3">
                  <c:v>570.0315789473683</c:v>
                </c:pt>
                <c:pt idx="4">
                  <c:v>553.62178571428569</c:v>
                </c:pt>
                <c:pt idx="5">
                  <c:v>515.89700000000016</c:v>
                </c:pt>
                <c:pt idx="6">
                  <c:v>496.84625</c:v>
                </c:pt>
                <c:pt idx="7">
                  <c:v>488.2080645161289</c:v>
                </c:pt>
                <c:pt idx="8">
                  <c:v>453.98769230769233</c:v>
                </c:pt>
                <c:pt idx="9">
                  <c:v>436.79949999999991</c:v>
                </c:pt>
              </c:numCache>
            </c:numRef>
          </c:val>
          <c:extLst>
            <c:ext xmlns:c16="http://schemas.microsoft.com/office/drawing/2014/chart" uri="{C3380CC4-5D6E-409C-BE32-E72D297353CC}">
              <c16:uniqueId val="{00000000-7EF8-4E96-8E3B-7C2D3DB509C5}"/>
            </c:ext>
          </c:extLst>
        </c:ser>
        <c:dLbls>
          <c:showLegendKey val="0"/>
          <c:showVal val="0"/>
          <c:showCatName val="0"/>
          <c:showSerName val="0"/>
          <c:showPercent val="0"/>
          <c:showBubbleSize val="0"/>
        </c:dLbls>
        <c:gapWidth val="100"/>
        <c:overlap val="-24"/>
        <c:axId val="556535968"/>
        <c:axId val="556536448"/>
      </c:barChart>
      <c:catAx>
        <c:axId val="556535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ysClr val="windowText" lastClr="000000"/>
                </a:solidFill>
                <a:latin typeface="+mn-lt"/>
                <a:ea typeface="+mn-ea"/>
                <a:cs typeface="+mn-cs"/>
              </a:defRPr>
            </a:pPr>
            <a:endParaRPr lang="en-US"/>
          </a:p>
        </c:txPr>
        <c:crossAx val="556536448"/>
        <c:crosses val="autoZero"/>
        <c:auto val="1"/>
        <c:lblAlgn val="ctr"/>
        <c:lblOffset val="100"/>
        <c:noMultiLvlLbl val="0"/>
      </c:catAx>
      <c:valAx>
        <c:axId val="556536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ysClr val="windowText" lastClr="000000"/>
                </a:solidFill>
                <a:latin typeface="+mn-lt"/>
                <a:ea typeface="+mn-ea"/>
                <a:cs typeface="+mn-cs"/>
              </a:defRPr>
            </a:pPr>
            <a:endParaRPr lang="en-US"/>
          </a:p>
        </c:txPr>
        <c:crossAx val="55653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7BED9"/>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[housing_dataset.xlsx]average price per city!PivotTable1</c:name>
    <c:fmtId val="13"/>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r>
              <a:rPr lang="en-IN" sz="1600" b="1" i="0" u="none" strike="noStrike" kern="1200" spc="0" baseline="0">
                <a:solidFill>
                  <a:sysClr val="windowText" lastClr="000000"/>
                </a:solidFill>
                <a:latin typeface="+mn-lt"/>
                <a:ea typeface="+mn-ea"/>
                <a:cs typeface="+mn-cs"/>
              </a:rPr>
              <a:t>AVRAGE PRICE BY CITY</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7AC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7AC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'average price per city'!$B$3</c:f>
              <c:strCache>
                <c:ptCount val="1"/>
                <c:pt idx="0">
                  <c:v>Total</c:v>
                </c:pt>
              </c:strCache>
            </c:strRef>
          </c:tx>
          <c:spPr>
            <a:solidFill>
              <a:srgbClr val="007AC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1"/>
          <c:dPt>
            <c:idx val="6"/>
            <c:invertIfNegative val="0"/>
            <c:bubble3D val="0"/>
            <c:extLst>
              <c:ext xmlns:c16="http://schemas.microsoft.com/office/drawing/2014/chart" uri="{C3380CC4-5D6E-409C-BE32-E72D297353CC}">
                <c16:uniqueId val="{00000000-D6A5-4FBE-967A-96B11E836204}"/>
              </c:ext>
            </c:extLst>
          </c:dPt>
          <c:cat>
            <c:strRef>
              <c:f>'average price per city'!$A$4:$A$14</c:f>
              <c:strCache>
                <c:ptCount val="10"/>
                <c:pt idx="0">
                  <c:v>New York</c:v>
                </c:pt>
                <c:pt idx="1">
                  <c:v>Portland</c:v>
                </c:pt>
                <c:pt idx="2">
                  <c:v>Los Angeles</c:v>
                </c:pt>
                <c:pt idx="3">
                  <c:v>Denver</c:v>
                </c:pt>
                <c:pt idx="4">
                  <c:v>Miami</c:v>
                </c:pt>
                <c:pt idx="5">
                  <c:v>San Francisco</c:v>
                </c:pt>
                <c:pt idx="6">
                  <c:v>Boston</c:v>
                </c:pt>
                <c:pt idx="7">
                  <c:v>Chicago</c:v>
                </c:pt>
                <c:pt idx="8">
                  <c:v>Seattle</c:v>
                </c:pt>
                <c:pt idx="9">
                  <c:v>Austin</c:v>
                </c:pt>
              </c:strCache>
            </c:strRef>
          </c:cat>
          <c:val>
            <c:numRef>
              <c:f>'average price per city'!$B$4:$B$14</c:f>
              <c:numCache>
                <c:formatCode>General</c:formatCode>
                <c:ptCount val="10"/>
                <c:pt idx="0">
                  <c:v>1468669.2552631579</c:v>
                </c:pt>
                <c:pt idx="1">
                  <c:v>1396037.7464285712</c:v>
                </c:pt>
                <c:pt idx="2">
                  <c:v>1328947.7083999997</c:v>
                </c:pt>
                <c:pt idx="3">
                  <c:v>1205576.8125000002</c:v>
                </c:pt>
                <c:pt idx="4">
                  <c:v>1200018.1542105265</c:v>
                </c:pt>
                <c:pt idx="5">
                  <c:v>1128202.9748387097</c:v>
                </c:pt>
                <c:pt idx="6">
                  <c:v>1126089.7323333335</c:v>
                </c:pt>
                <c:pt idx="7">
                  <c:v>1028430.7129166668</c:v>
                </c:pt>
                <c:pt idx="8">
                  <c:v>944836.4800000001</c:v>
                </c:pt>
                <c:pt idx="9">
                  <c:v>917417.65423076914</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14:spPr>
              </c14:invertSolidFillFmt>
            </c:ext>
            <c:ext xmlns:c16="http://schemas.microsoft.com/office/drawing/2014/chart" uri="{C3380CC4-5D6E-409C-BE32-E72D297353CC}">
              <c16:uniqueId val="{00000000-14D5-4DB7-B96F-A95BD2C93A00}"/>
            </c:ext>
          </c:extLst>
        </c:ser>
        <c:dLbls>
          <c:showLegendKey val="0"/>
          <c:showVal val="0"/>
          <c:showCatName val="0"/>
          <c:showSerName val="0"/>
          <c:showPercent val="0"/>
          <c:showBubbleSize val="0"/>
        </c:dLbls>
        <c:gapWidth val="100"/>
        <c:overlap val="-24"/>
        <c:axId val="513336784"/>
        <c:axId val="513337744"/>
      </c:barChart>
      <c:catAx>
        <c:axId val="51333678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ysClr val="windowText" lastClr="000000"/>
                </a:solidFill>
                <a:latin typeface="+mn-lt"/>
                <a:ea typeface="+mn-ea"/>
                <a:cs typeface="+mn-cs"/>
              </a:defRPr>
            </a:pPr>
            <a:endParaRPr lang="en-US"/>
          </a:p>
        </c:txPr>
        <c:crossAx val="513337744"/>
        <c:crosses val="autoZero"/>
        <c:auto val="1"/>
        <c:lblAlgn val="ctr"/>
        <c:lblOffset val="100"/>
        <c:noMultiLvlLbl val="0"/>
      </c:catAx>
      <c:valAx>
        <c:axId val="51333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ysClr val="windowText" lastClr="000000"/>
                </a:solidFill>
                <a:latin typeface="+mn-lt"/>
                <a:ea typeface="+mn-ea"/>
                <a:cs typeface="+mn-cs"/>
              </a:defRPr>
            </a:pPr>
            <a:endParaRPr lang="en-US"/>
          </a:p>
        </c:txPr>
        <c:crossAx val="51333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7BED9"/>
    </a:soli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0"/>
    </a:effectLst>
  </c:spPr>
  <c:txPr>
    <a:bodyPr/>
    <a:lstStyle/>
    <a:p>
      <a:pPr algn="ct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[housing_dataset.xlsx]condition wise proce!PivotTable3</c:name>
    <c:fmtId val="10"/>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r>
              <a:rPr lang="en-IN" sz="1600" b="1" i="0" u="none" strike="noStrike" kern="1200" spc="0" baseline="0">
                <a:solidFill>
                  <a:sysClr val="windowText" lastClr="000000"/>
                </a:solidFill>
                <a:latin typeface="+mn-lt"/>
                <a:ea typeface="+mn-ea"/>
                <a:cs typeface="+mn-cs"/>
              </a:rPr>
              <a:t>CONDITION WISE AVG PRICE</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'condition wise proce'!$B$3:$B$4</c:f>
              <c:strCache>
                <c:ptCount val="1"/>
                <c:pt idx="0">
                  <c:v>Austin</c:v>
                </c:pt>
              </c:strCache>
            </c:strRef>
          </c:tx>
          <c:spPr>
            <a:solidFill>
              <a:schemeClr val="accent1"/>
            </a:solidFill>
            <a:ln>
              <a:noFill/>
            </a:ln>
            <a:effectLst/>
          </c:spPr>
          <c:invertIfNegative val="0"/>
          <c:cat>
            <c:strRef>
              <c:f>'condition wise proce'!$A$5:$A$9</c:f>
              <c:strCache>
                <c:ptCount val="4"/>
                <c:pt idx="0">
                  <c:v>Excellent</c:v>
                </c:pt>
                <c:pt idx="1">
                  <c:v>Fair</c:v>
                </c:pt>
                <c:pt idx="2">
                  <c:v>Good</c:v>
                </c:pt>
                <c:pt idx="3">
                  <c:v>Needs Renovation</c:v>
                </c:pt>
              </c:strCache>
            </c:strRef>
          </c:cat>
          <c:val>
            <c:numRef>
              <c:f>'condition wise proce'!$B$5:$B$9</c:f>
              <c:numCache>
                <c:formatCode>General</c:formatCode>
                <c:ptCount val="4"/>
                <c:pt idx="0">
                  <c:v>687492.10666666657</c:v>
                </c:pt>
                <c:pt idx="1">
                  <c:v>992426.32555555552</c:v>
                </c:pt>
                <c:pt idx="2">
                  <c:v>918467.5542857144</c:v>
                </c:pt>
              </c:numCache>
            </c:numRef>
          </c:val>
          <c:extLst>
            <c:ext xmlns:c16="http://schemas.microsoft.com/office/drawing/2014/chart" uri="{C3380CC4-5D6E-409C-BE32-E72D297353CC}">
              <c16:uniqueId val="{00000000-7D5A-478E-BD65-AF807C4F7226}"/>
            </c:ext>
          </c:extLst>
        </c:ser>
        <c:ser>
          <c:idx val="1"/>
          <c:order val="1"/>
          <c:tx>
            <c:strRef>
              <c:f>'condition wise proce'!$C$3:$C$4</c:f>
              <c:strCache>
                <c:ptCount val="1"/>
                <c:pt idx="0">
                  <c:v>Boston</c:v>
                </c:pt>
              </c:strCache>
            </c:strRef>
          </c:tx>
          <c:spPr>
            <a:solidFill>
              <a:schemeClr val="accent2"/>
            </a:solidFill>
            <a:ln>
              <a:noFill/>
            </a:ln>
            <a:effectLst/>
          </c:spPr>
          <c:invertIfNegative val="0"/>
          <c:cat>
            <c:strRef>
              <c:f>'condition wise proce'!$A$5:$A$9</c:f>
              <c:strCache>
                <c:ptCount val="4"/>
                <c:pt idx="0">
                  <c:v>Excellent</c:v>
                </c:pt>
                <c:pt idx="1">
                  <c:v>Fair</c:v>
                </c:pt>
                <c:pt idx="2">
                  <c:v>Good</c:v>
                </c:pt>
                <c:pt idx="3">
                  <c:v>Needs Renovation</c:v>
                </c:pt>
              </c:strCache>
            </c:strRef>
          </c:cat>
          <c:val>
            <c:numRef>
              <c:f>'condition wise proce'!$C$5:$C$9</c:f>
              <c:numCache>
                <c:formatCode>General</c:formatCode>
                <c:ptCount val="4"/>
                <c:pt idx="0">
                  <c:v>951611.48666666669</c:v>
                </c:pt>
                <c:pt idx="1">
                  <c:v>1086209.0160000001</c:v>
                </c:pt>
                <c:pt idx="2">
                  <c:v>1279490.0492307693</c:v>
                </c:pt>
                <c:pt idx="3">
                  <c:v>577562.25</c:v>
                </c:pt>
              </c:numCache>
            </c:numRef>
          </c:val>
          <c:extLst>
            <c:ext xmlns:c16="http://schemas.microsoft.com/office/drawing/2014/chart" uri="{C3380CC4-5D6E-409C-BE32-E72D297353CC}">
              <c16:uniqueId val="{00000001-CF2E-4C7F-BE68-1DE837C94C14}"/>
            </c:ext>
          </c:extLst>
        </c:ser>
        <c:ser>
          <c:idx val="2"/>
          <c:order val="2"/>
          <c:tx>
            <c:strRef>
              <c:f>'condition wise proce'!$D$3:$D$4</c:f>
              <c:strCache>
                <c:ptCount val="1"/>
                <c:pt idx="0">
                  <c:v>Chicago</c:v>
                </c:pt>
              </c:strCache>
            </c:strRef>
          </c:tx>
          <c:spPr>
            <a:solidFill>
              <a:schemeClr val="accent3"/>
            </a:solidFill>
            <a:ln>
              <a:noFill/>
            </a:ln>
            <a:effectLst/>
          </c:spPr>
          <c:invertIfNegative val="0"/>
          <c:cat>
            <c:strRef>
              <c:f>'condition wise proce'!$A$5:$A$9</c:f>
              <c:strCache>
                <c:ptCount val="4"/>
                <c:pt idx="0">
                  <c:v>Excellent</c:v>
                </c:pt>
                <c:pt idx="1">
                  <c:v>Fair</c:v>
                </c:pt>
                <c:pt idx="2">
                  <c:v>Good</c:v>
                </c:pt>
                <c:pt idx="3">
                  <c:v>Needs Renovation</c:v>
                </c:pt>
              </c:strCache>
            </c:strRef>
          </c:cat>
          <c:val>
            <c:numRef>
              <c:f>'condition wise proce'!$D$5:$D$9</c:f>
              <c:numCache>
                <c:formatCode>General</c:formatCode>
                <c:ptCount val="4"/>
                <c:pt idx="0">
                  <c:v>987085.9483333336</c:v>
                </c:pt>
                <c:pt idx="1">
                  <c:v>1211881.0449999999</c:v>
                </c:pt>
                <c:pt idx="2">
                  <c:v>966567.60700000008</c:v>
                </c:pt>
                <c:pt idx="3">
                  <c:v>911429.54</c:v>
                </c:pt>
              </c:numCache>
            </c:numRef>
          </c:val>
          <c:extLst>
            <c:ext xmlns:c16="http://schemas.microsoft.com/office/drawing/2014/chart" uri="{C3380CC4-5D6E-409C-BE32-E72D297353CC}">
              <c16:uniqueId val="{00000002-CF2E-4C7F-BE68-1DE837C94C14}"/>
            </c:ext>
          </c:extLst>
        </c:ser>
        <c:ser>
          <c:idx val="3"/>
          <c:order val="3"/>
          <c:tx>
            <c:strRef>
              <c:f>'condition wise proce'!$E$3:$E$4</c:f>
              <c:strCache>
                <c:ptCount val="1"/>
                <c:pt idx="0">
                  <c:v>Denver</c:v>
                </c:pt>
              </c:strCache>
            </c:strRef>
          </c:tx>
          <c:spPr>
            <a:solidFill>
              <a:schemeClr val="accent4"/>
            </a:solidFill>
            <a:ln>
              <a:noFill/>
            </a:ln>
            <a:effectLst/>
          </c:spPr>
          <c:invertIfNegative val="0"/>
          <c:cat>
            <c:strRef>
              <c:f>'condition wise proce'!$A$5:$A$9</c:f>
              <c:strCache>
                <c:ptCount val="4"/>
                <c:pt idx="0">
                  <c:v>Excellent</c:v>
                </c:pt>
                <c:pt idx="1">
                  <c:v>Fair</c:v>
                </c:pt>
                <c:pt idx="2">
                  <c:v>Good</c:v>
                </c:pt>
                <c:pt idx="3">
                  <c:v>Needs Renovation</c:v>
                </c:pt>
              </c:strCache>
            </c:strRef>
          </c:cat>
          <c:val>
            <c:numRef>
              <c:f>'condition wise proce'!$E$5:$E$9</c:f>
              <c:numCache>
                <c:formatCode>General</c:formatCode>
                <c:ptCount val="4"/>
                <c:pt idx="0">
                  <c:v>1209467.4211111113</c:v>
                </c:pt>
                <c:pt idx="1">
                  <c:v>1027430.0462499999</c:v>
                </c:pt>
                <c:pt idx="2">
                  <c:v>1276196.875</c:v>
                </c:pt>
                <c:pt idx="3">
                  <c:v>1480642.8633333333</c:v>
                </c:pt>
              </c:numCache>
            </c:numRef>
          </c:val>
          <c:extLst>
            <c:ext xmlns:c16="http://schemas.microsoft.com/office/drawing/2014/chart" uri="{C3380CC4-5D6E-409C-BE32-E72D297353CC}">
              <c16:uniqueId val="{00000003-CF2E-4C7F-BE68-1DE837C94C14}"/>
            </c:ext>
          </c:extLst>
        </c:ser>
        <c:ser>
          <c:idx val="4"/>
          <c:order val="4"/>
          <c:tx>
            <c:strRef>
              <c:f>'condition wise proce'!$F$3:$F$4</c:f>
              <c:strCache>
                <c:ptCount val="1"/>
                <c:pt idx="0">
                  <c:v>Los Angeles</c:v>
                </c:pt>
              </c:strCache>
            </c:strRef>
          </c:tx>
          <c:spPr>
            <a:solidFill>
              <a:schemeClr val="accent5"/>
            </a:solidFill>
            <a:ln>
              <a:noFill/>
            </a:ln>
            <a:effectLst/>
          </c:spPr>
          <c:invertIfNegative val="0"/>
          <c:cat>
            <c:strRef>
              <c:f>'condition wise proce'!$A$5:$A$9</c:f>
              <c:strCache>
                <c:ptCount val="4"/>
                <c:pt idx="0">
                  <c:v>Excellent</c:v>
                </c:pt>
                <c:pt idx="1">
                  <c:v>Fair</c:v>
                </c:pt>
                <c:pt idx="2">
                  <c:v>Good</c:v>
                </c:pt>
                <c:pt idx="3">
                  <c:v>Needs Renovation</c:v>
                </c:pt>
              </c:strCache>
            </c:strRef>
          </c:cat>
          <c:val>
            <c:numRef>
              <c:f>'condition wise proce'!$F$5:$F$9</c:f>
              <c:numCache>
                <c:formatCode>General</c:formatCode>
                <c:ptCount val="4"/>
                <c:pt idx="0">
                  <c:v>1212721.9583333333</c:v>
                </c:pt>
                <c:pt idx="1">
                  <c:v>1137144.0280000002</c:v>
                </c:pt>
                <c:pt idx="2">
                  <c:v>1563659.5199999998</c:v>
                </c:pt>
                <c:pt idx="3">
                  <c:v>1020462.0333333333</c:v>
                </c:pt>
              </c:numCache>
            </c:numRef>
          </c:val>
          <c:extLst>
            <c:ext xmlns:c16="http://schemas.microsoft.com/office/drawing/2014/chart" uri="{C3380CC4-5D6E-409C-BE32-E72D297353CC}">
              <c16:uniqueId val="{00000004-CF2E-4C7F-BE68-1DE837C94C14}"/>
            </c:ext>
          </c:extLst>
        </c:ser>
        <c:ser>
          <c:idx val="5"/>
          <c:order val="5"/>
          <c:tx>
            <c:strRef>
              <c:f>'condition wise proce'!$G$3:$G$4</c:f>
              <c:strCache>
                <c:ptCount val="1"/>
                <c:pt idx="0">
                  <c:v>Miami</c:v>
                </c:pt>
              </c:strCache>
            </c:strRef>
          </c:tx>
          <c:spPr>
            <a:solidFill>
              <a:schemeClr val="accent6"/>
            </a:solidFill>
            <a:ln>
              <a:noFill/>
            </a:ln>
            <a:effectLst/>
          </c:spPr>
          <c:invertIfNegative val="0"/>
          <c:cat>
            <c:strRef>
              <c:f>'condition wise proce'!$A$5:$A$9</c:f>
              <c:strCache>
                <c:ptCount val="4"/>
                <c:pt idx="0">
                  <c:v>Excellent</c:v>
                </c:pt>
                <c:pt idx="1">
                  <c:v>Fair</c:v>
                </c:pt>
                <c:pt idx="2">
                  <c:v>Good</c:v>
                </c:pt>
                <c:pt idx="3">
                  <c:v>Needs Renovation</c:v>
                </c:pt>
              </c:strCache>
            </c:strRef>
          </c:cat>
          <c:val>
            <c:numRef>
              <c:f>'condition wise proce'!$G$5:$G$9</c:f>
              <c:numCache>
                <c:formatCode>General</c:formatCode>
                <c:ptCount val="4"/>
                <c:pt idx="0">
                  <c:v>1164472.4466666665</c:v>
                </c:pt>
                <c:pt idx="1">
                  <c:v>1394520.8149999999</c:v>
                </c:pt>
                <c:pt idx="2">
                  <c:v>1137269.6655555558</c:v>
                </c:pt>
              </c:numCache>
            </c:numRef>
          </c:val>
          <c:extLst>
            <c:ext xmlns:c16="http://schemas.microsoft.com/office/drawing/2014/chart" uri="{C3380CC4-5D6E-409C-BE32-E72D297353CC}">
              <c16:uniqueId val="{00000005-CF2E-4C7F-BE68-1DE837C94C14}"/>
            </c:ext>
          </c:extLst>
        </c:ser>
        <c:ser>
          <c:idx val="6"/>
          <c:order val="6"/>
          <c:tx>
            <c:strRef>
              <c:f>'condition wise proce'!$H$3:$H$4</c:f>
              <c:strCache>
                <c:ptCount val="1"/>
                <c:pt idx="0">
                  <c:v>New York</c:v>
                </c:pt>
              </c:strCache>
            </c:strRef>
          </c:tx>
          <c:spPr>
            <a:solidFill>
              <a:schemeClr val="accent1">
                <a:lumMod val="60000"/>
              </a:schemeClr>
            </a:solidFill>
            <a:ln>
              <a:noFill/>
            </a:ln>
            <a:effectLst/>
          </c:spPr>
          <c:invertIfNegative val="0"/>
          <c:cat>
            <c:strRef>
              <c:f>'condition wise proce'!$A$5:$A$9</c:f>
              <c:strCache>
                <c:ptCount val="4"/>
                <c:pt idx="0">
                  <c:v>Excellent</c:v>
                </c:pt>
                <c:pt idx="1">
                  <c:v>Fair</c:v>
                </c:pt>
                <c:pt idx="2">
                  <c:v>Good</c:v>
                </c:pt>
                <c:pt idx="3">
                  <c:v>Needs Renovation</c:v>
                </c:pt>
              </c:strCache>
            </c:strRef>
          </c:cat>
          <c:val>
            <c:numRef>
              <c:f>'condition wise proce'!$H$5:$H$9</c:f>
              <c:numCache>
                <c:formatCode>General</c:formatCode>
                <c:ptCount val="4"/>
                <c:pt idx="0">
                  <c:v>1362953.0066666666</c:v>
                </c:pt>
                <c:pt idx="1">
                  <c:v>1531637.0733333332</c:v>
                </c:pt>
                <c:pt idx="2">
                  <c:v>1511826.575</c:v>
                </c:pt>
                <c:pt idx="3">
                  <c:v>1466215.9200000002</c:v>
                </c:pt>
              </c:numCache>
            </c:numRef>
          </c:val>
          <c:extLst>
            <c:ext xmlns:c16="http://schemas.microsoft.com/office/drawing/2014/chart" uri="{C3380CC4-5D6E-409C-BE32-E72D297353CC}">
              <c16:uniqueId val="{00000006-CF2E-4C7F-BE68-1DE837C94C14}"/>
            </c:ext>
          </c:extLst>
        </c:ser>
        <c:ser>
          <c:idx val="7"/>
          <c:order val="7"/>
          <c:tx>
            <c:strRef>
              <c:f>'condition wise proce'!$I$3:$I$4</c:f>
              <c:strCache>
                <c:ptCount val="1"/>
                <c:pt idx="0">
                  <c:v>Portland</c:v>
                </c:pt>
              </c:strCache>
            </c:strRef>
          </c:tx>
          <c:spPr>
            <a:solidFill>
              <a:schemeClr val="accent2">
                <a:lumMod val="60000"/>
              </a:schemeClr>
            </a:solidFill>
            <a:ln>
              <a:noFill/>
            </a:ln>
            <a:effectLst/>
          </c:spPr>
          <c:invertIfNegative val="0"/>
          <c:cat>
            <c:strRef>
              <c:f>'condition wise proce'!$A$5:$A$9</c:f>
              <c:strCache>
                <c:ptCount val="4"/>
                <c:pt idx="0">
                  <c:v>Excellent</c:v>
                </c:pt>
                <c:pt idx="1">
                  <c:v>Fair</c:v>
                </c:pt>
                <c:pt idx="2">
                  <c:v>Good</c:v>
                </c:pt>
                <c:pt idx="3">
                  <c:v>Needs Renovation</c:v>
                </c:pt>
              </c:strCache>
            </c:strRef>
          </c:cat>
          <c:val>
            <c:numRef>
              <c:f>'condition wise proce'!$I$5:$I$9</c:f>
              <c:numCache>
                <c:formatCode>General</c:formatCode>
                <c:ptCount val="4"/>
                <c:pt idx="0">
                  <c:v>1366331.8675000002</c:v>
                </c:pt>
                <c:pt idx="1">
                  <c:v>1201594.7657142857</c:v>
                </c:pt>
                <c:pt idx="2">
                  <c:v>1485505.0966666667</c:v>
                </c:pt>
                <c:pt idx="3">
                  <c:v>1921177.4400000002</c:v>
                </c:pt>
              </c:numCache>
            </c:numRef>
          </c:val>
          <c:extLst>
            <c:ext xmlns:c16="http://schemas.microsoft.com/office/drawing/2014/chart" uri="{C3380CC4-5D6E-409C-BE32-E72D297353CC}">
              <c16:uniqueId val="{00000007-CF2E-4C7F-BE68-1DE837C94C14}"/>
            </c:ext>
          </c:extLst>
        </c:ser>
        <c:ser>
          <c:idx val="8"/>
          <c:order val="8"/>
          <c:tx>
            <c:strRef>
              <c:f>'condition wise proce'!$J$3:$J$4</c:f>
              <c:strCache>
                <c:ptCount val="1"/>
                <c:pt idx="0">
                  <c:v>San Francisco</c:v>
                </c:pt>
              </c:strCache>
            </c:strRef>
          </c:tx>
          <c:spPr>
            <a:solidFill>
              <a:schemeClr val="accent3">
                <a:lumMod val="60000"/>
              </a:schemeClr>
            </a:solidFill>
            <a:ln>
              <a:noFill/>
            </a:ln>
            <a:effectLst/>
          </c:spPr>
          <c:invertIfNegative val="0"/>
          <c:cat>
            <c:strRef>
              <c:f>'condition wise proce'!$A$5:$A$9</c:f>
              <c:strCache>
                <c:ptCount val="4"/>
                <c:pt idx="0">
                  <c:v>Excellent</c:v>
                </c:pt>
                <c:pt idx="1">
                  <c:v>Fair</c:v>
                </c:pt>
                <c:pt idx="2">
                  <c:v>Good</c:v>
                </c:pt>
                <c:pt idx="3">
                  <c:v>Needs Renovation</c:v>
                </c:pt>
              </c:strCache>
            </c:strRef>
          </c:cat>
          <c:val>
            <c:numRef>
              <c:f>'condition wise proce'!$J$5:$J$9</c:f>
              <c:numCache>
                <c:formatCode>General</c:formatCode>
                <c:ptCount val="4"/>
                <c:pt idx="0">
                  <c:v>1006247.9042857143</c:v>
                </c:pt>
                <c:pt idx="1">
                  <c:v>1228149.5483333331</c:v>
                </c:pt>
                <c:pt idx="2">
                  <c:v>1132310.4785714285</c:v>
                </c:pt>
                <c:pt idx="3">
                  <c:v>1177328.2249999999</c:v>
                </c:pt>
              </c:numCache>
            </c:numRef>
          </c:val>
          <c:extLst>
            <c:ext xmlns:c16="http://schemas.microsoft.com/office/drawing/2014/chart" uri="{C3380CC4-5D6E-409C-BE32-E72D297353CC}">
              <c16:uniqueId val="{00000008-CF2E-4C7F-BE68-1DE837C94C14}"/>
            </c:ext>
          </c:extLst>
        </c:ser>
        <c:ser>
          <c:idx val="9"/>
          <c:order val="9"/>
          <c:tx>
            <c:strRef>
              <c:f>'condition wise proce'!$K$3:$K$4</c:f>
              <c:strCache>
                <c:ptCount val="1"/>
                <c:pt idx="0">
                  <c:v>Seattle</c:v>
                </c:pt>
              </c:strCache>
            </c:strRef>
          </c:tx>
          <c:spPr>
            <a:solidFill>
              <a:schemeClr val="accent4">
                <a:lumMod val="60000"/>
              </a:schemeClr>
            </a:solidFill>
            <a:ln>
              <a:noFill/>
            </a:ln>
            <a:effectLst/>
          </c:spPr>
          <c:invertIfNegative val="0"/>
          <c:cat>
            <c:strRef>
              <c:f>'condition wise proce'!$A$5:$A$9</c:f>
              <c:strCache>
                <c:ptCount val="4"/>
                <c:pt idx="0">
                  <c:v>Excellent</c:v>
                </c:pt>
                <c:pt idx="1">
                  <c:v>Fair</c:v>
                </c:pt>
                <c:pt idx="2">
                  <c:v>Good</c:v>
                </c:pt>
                <c:pt idx="3">
                  <c:v>Needs Renovation</c:v>
                </c:pt>
              </c:strCache>
            </c:strRef>
          </c:cat>
          <c:val>
            <c:numRef>
              <c:f>'condition wise proce'!$K$5:$K$9</c:f>
              <c:numCache>
                <c:formatCode>General</c:formatCode>
                <c:ptCount val="4"/>
                <c:pt idx="0">
                  <c:v>1068767.55</c:v>
                </c:pt>
                <c:pt idx="1">
                  <c:v>766692.37750000006</c:v>
                </c:pt>
                <c:pt idx="2">
                  <c:v>971050.57230769238</c:v>
                </c:pt>
              </c:numCache>
            </c:numRef>
          </c:val>
          <c:extLst>
            <c:ext xmlns:c16="http://schemas.microsoft.com/office/drawing/2014/chart" uri="{C3380CC4-5D6E-409C-BE32-E72D297353CC}">
              <c16:uniqueId val="{00000009-CF2E-4C7F-BE68-1DE837C94C14}"/>
            </c:ext>
          </c:extLst>
        </c:ser>
        <c:dLbls>
          <c:showLegendKey val="0"/>
          <c:showVal val="0"/>
          <c:showCatName val="0"/>
          <c:showSerName val="0"/>
          <c:showPercent val="0"/>
          <c:showBubbleSize val="0"/>
        </c:dLbls>
        <c:gapWidth val="150"/>
        <c:axId val="510033840"/>
        <c:axId val="510032880"/>
      </c:barChart>
      <c:catAx>
        <c:axId val="510033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ysClr val="windowText" lastClr="000000"/>
                </a:solidFill>
                <a:latin typeface="+mn-lt"/>
                <a:ea typeface="+mn-ea"/>
                <a:cs typeface="+mn-cs"/>
              </a:defRPr>
            </a:pPr>
            <a:endParaRPr lang="en-US"/>
          </a:p>
        </c:txPr>
        <c:crossAx val="510032880"/>
        <c:crosses val="autoZero"/>
        <c:auto val="1"/>
        <c:lblAlgn val="ctr"/>
        <c:lblOffset val="100"/>
        <c:noMultiLvlLbl val="0"/>
      </c:catAx>
      <c:valAx>
        <c:axId val="51003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ysClr val="windowText" lastClr="000000"/>
                </a:solidFill>
                <a:latin typeface="+mn-lt"/>
                <a:ea typeface="+mn-ea"/>
                <a:cs typeface="+mn-cs"/>
              </a:defRPr>
            </a:pPr>
            <a:endParaRPr lang="en-US"/>
          </a:p>
        </c:txPr>
        <c:crossAx val="51003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67BED9"/>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lgn="ct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[housing_dataset.xlsx]avg price!PivotTable22</c:name>
    <c:fmtId val="15"/>
  </c:pivotSource>
  <c:chart>
    <c:title>
      <c:tx>
        <c:rich>
          <a:bodyPr rot="0" spcFirstLastPara="1" vertOverflow="ellipsis" vert="horz" wrap="square" anchor="ctr" anchorCtr="1"/>
          <a:lstStyle/>
          <a:p>
            <a:pPr algn="ctr" rtl="0">
              <a:defRPr lang="en-IN" sz="1600" b="1" i="0" u="none" strike="noStrike" kern="1200" cap="all" spc="0" normalizeH="0" baseline="0">
                <a:solidFill>
                  <a:sysClr val="windowText" lastClr="000000"/>
                </a:solidFill>
                <a:latin typeface="+mn-lt"/>
                <a:ea typeface="+mn-ea"/>
                <a:cs typeface="+mn-cs"/>
              </a:defRPr>
            </a:pPr>
            <a:r>
              <a:rPr lang="en-IN" sz="1600" b="1" i="0" u="none" strike="noStrike" kern="1200" spc="0" baseline="0">
                <a:solidFill>
                  <a:sysClr val="windowText" lastClr="000000"/>
                </a:solidFill>
                <a:latin typeface="+mn-lt"/>
                <a:ea typeface="+mn-ea"/>
                <a:cs typeface="+mn-cs"/>
              </a:rPr>
              <a:t>Average Price Trend</a:t>
            </a:r>
          </a:p>
        </c:rich>
      </c:tx>
      <c:overlay val="0"/>
      <c:spPr>
        <a:noFill/>
        <a:ln>
          <a:noFill/>
        </a:ln>
        <a:effectLst/>
      </c:spPr>
      <c:txPr>
        <a:bodyPr rot="0" spcFirstLastPara="1" vertOverflow="ellipsis" vert="horz" wrap="square" anchor="ctr" anchorCtr="1"/>
        <a:lstStyle/>
        <a:p>
          <a:pPr algn="ctr" rtl="0">
            <a:defRPr lang="en-IN" sz="1600" b="1" i="0" u="none" strike="noStrike" kern="1200" cap="all" spc="0" normalizeH="0" baseline="0">
              <a:solidFill>
                <a:sysClr val="windowText" lastClr="0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gradFill>
              <a:gsLst>
                <a:gs pos="0">
                  <a:srgbClr val="4DB3D3"/>
                </a:gs>
                <a:gs pos="0">
                  <a:srgbClr val="007ACC"/>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gradFill>
              <a:gsLst>
                <a:gs pos="0">
                  <a:srgbClr val="4DB3D3"/>
                </a:gs>
                <a:gs pos="0">
                  <a:srgbClr val="007ACC"/>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accent1"/>
              </a:solidFill>
              <a:round/>
            </a:ln>
            <a:effectLst/>
          </c:spPr>
        </c:marker>
      </c:pivotFmt>
    </c:pivotFmts>
    <c:plotArea>
      <c:layout>
        <c:manualLayout>
          <c:layoutTarget val="inner"/>
          <c:xMode val="edge"/>
          <c:yMode val="edge"/>
          <c:x val="0.14518285214348206"/>
          <c:y val="0.31434945631796024"/>
          <c:w val="0.82703937007874018"/>
          <c:h val="0.4484485272674249"/>
        </c:manualLayout>
      </c:layout>
      <c:lineChart>
        <c:grouping val="standard"/>
        <c:varyColors val="0"/>
        <c:ser>
          <c:idx val="0"/>
          <c:order val="0"/>
          <c:tx>
            <c:strRef>
              <c:f>'avg price'!$B$3</c:f>
              <c:strCache>
                <c:ptCount val="1"/>
                <c:pt idx="0">
                  <c:v>Total</c:v>
                </c:pt>
              </c:strCache>
            </c:strRef>
          </c:tx>
          <c:spPr>
            <a:ln w="22225" cap="rnd">
              <a:gradFill>
                <a:gsLst>
                  <a:gs pos="0">
                    <a:srgbClr val="4DB3D3"/>
                  </a:gs>
                  <a:gs pos="0">
                    <a:srgbClr val="007ACC"/>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accent1"/>
                </a:solidFill>
                <a:round/>
              </a:ln>
              <a:effectLst/>
            </c:spPr>
          </c:marker>
          <c:dPt>
            <c:idx val="5"/>
            <c:marker>
              <c:symbol val="circle"/>
              <c:size val="5"/>
              <c:spPr>
                <a:solidFill>
                  <a:schemeClr val="accent1"/>
                </a:solidFill>
                <a:ln w="22225">
                  <a:solidFill>
                    <a:schemeClr val="accent1"/>
                  </a:solidFill>
                  <a:round/>
                </a:ln>
                <a:effectLst/>
              </c:spPr>
            </c:marker>
            <c:bubble3D val="0"/>
            <c:spPr>
              <a:ln w="22225" cap="rnd">
                <a:gradFill>
                  <a:gsLst>
                    <a:gs pos="0">
                      <a:srgbClr val="4DB3D3"/>
                    </a:gs>
                    <a:gs pos="0">
                      <a:srgbClr val="007ACC"/>
                    </a:gs>
                  </a:gsLst>
                  <a:lin ang="5400000" scaled="1"/>
                </a:gradFill>
                <a:round/>
              </a:ln>
              <a:effectLst>
                <a:outerShdw dist="25400" dir="2700000" algn="tl" rotWithShape="0">
                  <a:schemeClr val="accent1"/>
                </a:outerShdw>
              </a:effectLst>
            </c:spPr>
            <c:extLst>
              <c:ext xmlns:c16="http://schemas.microsoft.com/office/drawing/2014/chart" uri="{C3380CC4-5D6E-409C-BE32-E72D297353CC}">
                <c16:uniqueId val="{00000000-5306-408D-A020-9571DA84BF9E}"/>
              </c:ext>
            </c:extLst>
          </c:dPt>
          <c:cat>
            <c:strRef>
              <c:f>'avg price'!$A$4:$A$11</c:f>
              <c:strCache>
                <c:ptCount val="7"/>
                <c:pt idx="0">
                  <c:v>2018</c:v>
                </c:pt>
                <c:pt idx="1">
                  <c:v>2019</c:v>
                </c:pt>
                <c:pt idx="2">
                  <c:v>2020</c:v>
                </c:pt>
                <c:pt idx="3">
                  <c:v>2021</c:v>
                </c:pt>
                <c:pt idx="4">
                  <c:v>2022</c:v>
                </c:pt>
                <c:pt idx="5">
                  <c:v>2023</c:v>
                </c:pt>
                <c:pt idx="6">
                  <c:v>2024</c:v>
                </c:pt>
              </c:strCache>
            </c:strRef>
          </c:cat>
          <c:val>
            <c:numRef>
              <c:f>'avg price'!$B$4:$B$11</c:f>
              <c:numCache>
                <c:formatCode>General</c:formatCode>
                <c:ptCount val="7"/>
                <c:pt idx="0">
                  <c:v>1261188.0145714283</c:v>
                </c:pt>
                <c:pt idx="1">
                  <c:v>1199908.4997619044</c:v>
                </c:pt>
                <c:pt idx="2">
                  <c:v>1168058.5610000002</c:v>
                </c:pt>
                <c:pt idx="3">
                  <c:v>1165060.2381249997</c:v>
                </c:pt>
                <c:pt idx="4">
                  <c:v>1081022.7056250002</c:v>
                </c:pt>
                <c:pt idx="5">
                  <c:v>1103320.6434285715</c:v>
                </c:pt>
                <c:pt idx="6">
                  <c:v>1202102.2727272729</c:v>
                </c:pt>
              </c:numCache>
            </c:numRef>
          </c:val>
          <c:smooth val="0"/>
          <c:extLst>
            <c:ext xmlns:c16="http://schemas.microsoft.com/office/drawing/2014/chart" uri="{C3380CC4-5D6E-409C-BE32-E72D297353CC}">
              <c16:uniqueId val="{00000000-AA16-427B-BA5C-3BB6934EBEE7}"/>
            </c:ext>
          </c:extLst>
        </c:ser>
        <c:dLbls>
          <c:showLegendKey val="0"/>
          <c:showVal val="0"/>
          <c:showCatName val="0"/>
          <c:showSerName val="0"/>
          <c:showPercent val="0"/>
          <c:showBubbleSize val="0"/>
        </c:dLbls>
        <c:dropLines>
          <c:spPr>
            <a:ln w="9525" cap="flat" cmpd="sng" algn="ctr">
              <a:gradFill>
                <a:gsLst>
                  <a:gs pos="0">
                    <a:srgbClr val="BCCFE6"/>
                  </a:gs>
                  <a:gs pos="0">
                    <a:srgbClr val="007ACC"/>
                  </a:gs>
                </a:gsLst>
                <a:lin ang="5400000" scaled="1"/>
              </a:gradFill>
              <a:round/>
            </a:ln>
            <a:effectLst/>
          </c:spPr>
        </c:dropLines>
        <c:marker val="1"/>
        <c:smooth val="0"/>
        <c:axId val="1608235600"/>
        <c:axId val="1608240400"/>
      </c:lineChart>
      <c:catAx>
        <c:axId val="160823560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lgn="ctr">
              <a:defRPr lang="en-US" sz="1000" b="0" i="0" u="none" strike="noStrike" kern="1200" spc="100" baseline="0">
                <a:solidFill>
                  <a:sysClr val="windowText" lastClr="000000"/>
                </a:solidFill>
                <a:latin typeface="+mn-lt"/>
                <a:ea typeface="+mn-ea"/>
                <a:cs typeface="+mn-cs"/>
              </a:defRPr>
            </a:pPr>
            <a:endParaRPr lang="en-US"/>
          </a:p>
        </c:txPr>
        <c:crossAx val="1608240400"/>
        <c:crosses val="autoZero"/>
        <c:auto val="1"/>
        <c:lblAlgn val="ctr"/>
        <c:lblOffset val="100"/>
        <c:noMultiLvlLbl val="0"/>
      </c:catAx>
      <c:valAx>
        <c:axId val="1608240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ysClr val="windowText" lastClr="000000"/>
                </a:solidFill>
                <a:latin typeface="+mn-lt"/>
                <a:ea typeface="+mn-ea"/>
                <a:cs typeface="+mn-cs"/>
              </a:defRPr>
            </a:pPr>
            <a:endParaRPr lang="en-US"/>
          </a:p>
        </c:txPr>
        <c:crossAx val="1608235600"/>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7BED9"/>
    </a:solidFill>
    <a:ln w="9525"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lgn="ct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289560</xdr:colOff>
      <xdr:row>1</xdr:row>
      <xdr:rowOff>19050</xdr:rowOff>
    </xdr:from>
    <xdr:to>
      <xdr:col>11</xdr:col>
      <xdr:colOff>594360</xdr:colOff>
      <xdr:row>16</xdr:row>
      <xdr:rowOff>19050</xdr:rowOff>
    </xdr:to>
    <xdr:graphicFrame macro="">
      <xdr:nvGraphicFramePr>
        <xdr:cNvPr id="2" name="Chart 1">
          <a:extLst>
            <a:ext uri="{FF2B5EF4-FFF2-40B4-BE49-F238E27FC236}">
              <a16:creationId xmlns:a16="http://schemas.microsoft.com/office/drawing/2014/main" id="{BF748EF9-3641-B361-B3C2-2DD735588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91440</xdr:colOff>
      <xdr:row>16</xdr:row>
      <xdr:rowOff>148590</xdr:rowOff>
    </xdr:from>
    <xdr:to>
      <xdr:col>12</xdr:col>
      <xdr:colOff>0</xdr:colOff>
      <xdr:row>31</xdr:row>
      <xdr:rowOff>148590</xdr:rowOff>
    </xdr:to>
    <xdr:graphicFrame macro="">
      <xdr:nvGraphicFramePr>
        <xdr:cNvPr id="3" name="Chart 2">
          <a:extLst>
            <a:ext uri="{FF2B5EF4-FFF2-40B4-BE49-F238E27FC236}">
              <a16:creationId xmlns:a16="http://schemas.microsoft.com/office/drawing/2014/main" id="{9B53FD2C-223B-4DA0-98AA-DD171E713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426720</xdr:colOff>
      <xdr:row>8</xdr:row>
      <xdr:rowOff>91440</xdr:rowOff>
    </xdr:from>
    <xdr:to>
      <xdr:col>16</xdr:col>
      <xdr:colOff>426720</xdr:colOff>
      <xdr:row>21</xdr:row>
      <xdr:rowOff>180975</xdr:rowOff>
    </xdr:to>
    <mc:AlternateContent xmlns:mc="http://schemas.openxmlformats.org/markup-compatibility/2006" xmlns:a14="http://schemas.microsoft.com/office/drawing/2010/main">
      <mc:Choice Requires="a14">
        <xdr:graphicFrame macro="">
          <xdr:nvGraphicFramePr>
            <xdr:cNvPr id="4" name="City 1">
              <a:extLst>
                <a:ext uri="{FF2B5EF4-FFF2-40B4-BE49-F238E27FC236}">
                  <a16:creationId xmlns:a16="http://schemas.microsoft.com/office/drawing/2014/main" id="{0930F728-D8FD-02DB-54D9-A5DFFE499AB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315700" y="1554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10</xdr:row>
      <xdr:rowOff>110490</xdr:rowOff>
    </xdr:from>
    <xdr:to>
      <xdr:col>5</xdr:col>
      <xdr:colOff>304800</xdr:colOff>
      <xdr:row>25</xdr:row>
      <xdr:rowOff>110490</xdr:rowOff>
    </xdr:to>
    <xdr:graphicFrame macro="">
      <xdr:nvGraphicFramePr>
        <xdr:cNvPr id="2" name="Chart 1">
          <a:extLst>
            <a:ext uri="{FF2B5EF4-FFF2-40B4-BE49-F238E27FC236}">
              <a16:creationId xmlns:a16="http://schemas.microsoft.com/office/drawing/2014/main" id="{000F7483-9AAA-3FE8-E503-D41154C30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30480</xdr:colOff>
      <xdr:row>11</xdr:row>
      <xdr:rowOff>144780</xdr:rowOff>
    </xdr:from>
    <xdr:to>
      <xdr:col>10</xdr:col>
      <xdr:colOff>190500</xdr:colOff>
      <xdr:row>25</xdr:row>
      <xdr:rowOff>51435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590085E8-F019-7768-E337-67D7DAFD659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68540" y="2156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167640</xdr:colOff>
      <xdr:row>2</xdr:row>
      <xdr:rowOff>11430</xdr:rowOff>
    </xdr:from>
    <xdr:to>
      <xdr:col>9</xdr:col>
      <xdr:colOff>472440</xdr:colOff>
      <xdr:row>17</xdr:row>
      <xdr:rowOff>11430</xdr:rowOff>
    </xdr:to>
    <xdr:graphicFrame macro="">
      <xdr:nvGraphicFramePr>
        <xdr:cNvPr id="3" name="Chart 2">
          <a:extLst>
            <a:ext uri="{FF2B5EF4-FFF2-40B4-BE49-F238E27FC236}">
              <a16:creationId xmlns:a16="http://schemas.microsoft.com/office/drawing/2014/main" id="{E274DB0E-3980-2059-8AEF-7EDB75EEA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182880</xdr:colOff>
      <xdr:row>7</xdr:row>
      <xdr:rowOff>30480</xdr:rowOff>
    </xdr:from>
    <xdr:to>
      <xdr:col>15</xdr:col>
      <xdr:colOff>472440</xdr:colOff>
      <xdr:row>14</xdr:row>
      <xdr:rowOff>121920</xdr:rowOff>
    </xdr:to>
    <mc:AlternateContent xmlns:mc="http://schemas.openxmlformats.org/markup-compatibility/2006" xmlns:tsle="http://schemas.microsoft.com/office/drawing/2012/timeslicer">
      <mc:Choice Requires="tsle">
        <xdr:graphicFrame macro="">
          <xdr:nvGraphicFramePr>
            <xdr:cNvPr id="5" name="Sale_Date">
              <a:extLst>
                <a:ext uri="{FF2B5EF4-FFF2-40B4-BE49-F238E27FC236}">
                  <a16:creationId xmlns:a16="http://schemas.microsoft.com/office/drawing/2014/main" id="{C87625B1-E28D-C5C2-5ACB-A311D91DC072}"/>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7254240" y="13106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99060</xdr:colOff>
      <xdr:row>12</xdr:row>
      <xdr:rowOff>7620</xdr:rowOff>
    </xdr:from>
    <xdr:to>
      <xdr:col>1</xdr:col>
      <xdr:colOff>1066800</xdr:colOff>
      <xdr:row>25</xdr:row>
      <xdr:rowOff>97155</xdr:rowOff>
    </xdr:to>
    <mc:AlternateContent xmlns:mc="http://schemas.openxmlformats.org/markup-compatibility/2006" xmlns:a14="http://schemas.microsoft.com/office/drawing/2010/main">
      <mc:Choice Requires="a14">
        <xdr:graphicFrame macro="">
          <xdr:nvGraphicFramePr>
            <xdr:cNvPr id="6" name="Column1">
              <a:extLst>
                <a:ext uri="{FF2B5EF4-FFF2-40B4-BE49-F238E27FC236}">
                  <a16:creationId xmlns:a16="http://schemas.microsoft.com/office/drawing/2014/main" id="{448997B1-DF58-1197-D1A9-3ABDDABCF05D}"/>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99060" y="2202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106680</xdr:colOff>
      <xdr:row>0</xdr:row>
      <xdr:rowOff>0</xdr:rowOff>
    </xdr:from>
    <xdr:to>
      <xdr:col>24</xdr:col>
      <xdr:colOff>342900</xdr:colOff>
      <xdr:row>35</xdr:row>
      <xdr:rowOff>91440</xdr:rowOff>
    </xdr:to>
    <xdr:sp macro="" textlink="">
      <xdr:nvSpPr>
        <xdr:cNvPr id="3" name="Rectangle 2">
          <a:extLst>
            <a:ext uri="{FF2B5EF4-FFF2-40B4-BE49-F238E27FC236}">
              <a16:creationId xmlns:a16="http://schemas.microsoft.com/office/drawing/2014/main" id="{5CB9D660-E15F-41BE-AE88-2B0E9300D2D5}"/>
            </a:ext>
          </a:extLst>
        </xdr:cNvPr>
        <xdr:cNvSpPr/>
      </xdr:nvSpPr>
      <xdr:spPr>
        <a:xfrm>
          <a:off x="1322801" y="0"/>
          <a:ext cx="13613554" cy="6556895"/>
        </a:xfrm>
        <a:prstGeom prst="rect">
          <a:avLst/>
        </a:prstGeom>
        <a:solidFill>
          <a:srgbClr val="B5E0E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xdr:colOff>
      <xdr:row>0</xdr:row>
      <xdr:rowOff>0</xdr:rowOff>
    </xdr:from>
    <xdr:to>
      <xdr:col>23</xdr:col>
      <xdr:colOff>54991</xdr:colOff>
      <xdr:row>2</xdr:row>
      <xdr:rowOff>175260</xdr:rowOff>
    </xdr:to>
    <xdr:sp macro="" textlink="">
      <xdr:nvSpPr>
        <xdr:cNvPr id="4" name="Rectangle: Rounded Corners 3">
          <a:extLst>
            <a:ext uri="{FF2B5EF4-FFF2-40B4-BE49-F238E27FC236}">
              <a16:creationId xmlns:a16="http://schemas.microsoft.com/office/drawing/2014/main" id="{21FCA581-460B-C612-BE3B-F11A2CACB94C}"/>
            </a:ext>
          </a:extLst>
        </xdr:cNvPr>
        <xdr:cNvSpPr/>
      </xdr:nvSpPr>
      <xdr:spPr>
        <a:xfrm>
          <a:off x="1" y="0"/>
          <a:ext cx="14148062" cy="536621"/>
        </a:xfrm>
        <a:prstGeom prst="roundRect">
          <a:avLst/>
        </a:prstGeom>
        <a:solidFill>
          <a:srgbClr val="00C6D1"/>
        </a:solidFill>
        <a:effectLst>
          <a:outerShdw blurRad="50800" dist="38100" dir="2700000" algn="tl"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3600">
              <a:latin typeface="Book Antiqua" panose="02040602050305030304" pitchFamily="18" charset="0"/>
            </a:rPr>
            <a:t>Property Price Analysis</a:t>
          </a:r>
          <a:endParaRPr lang="en-IN" sz="3600" b="1" cap="none" spc="0">
            <a:ln w="0"/>
            <a:solidFill>
              <a:schemeClr val="tx1"/>
            </a:solidFill>
            <a:effectLst>
              <a:outerShdw blurRad="38100" dist="19050" dir="2700000" algn="tl" rotWithShape="0">
                <a:schemeClr val="dk1">
                  <a:alpha val="40000"/>
                </a:schemeClr>
              </a:outerShdw>
            </a:effectLst>
            <a:latin typeface="Book Antiqua" panose="02040602050305030304" pitchFamily="18" charset="0"/>
          </a:endParaRPr>
        </a:p>
      </xdr:txBody>
    </xdr:sp>
    <xdr:clientData/>
  </xdr:twoCellAnchor>
  <xdr:twoCellAnchor editAs="oneCell">
    <xdr:from>
      <xdr:col>19</xdr:col>
      <xdr:colOff>83820</xdr:colOff>
      <xdr:row>3</xdr:row>
      <xdr:rowOff>106680</xdr:rowOff>
    </xdr:from>
    <xdr:to>
      <xdr:col>23</xdr:col>
      <xdr:colOff>30480</xdr:colOff>
      <xdr:row>14</xdr:row>
      <xdr:rowOff>99060</xdr:rowOff>
    </xdr:to>
    <mc:AlternateContent xmlns:mc="http://schemas.openxmlformats.org/markup-compatibility/2006" xmlns:a14="http://schemas.microsoft.com/office/drawing/2010/main">
      <mc:Choice Requires="a14">
        <xdr:graphicFrame macro="">
          <xdr:nvGraphicFramePr>
            <xdr:cNvPr id="7" name="City 2">
              <a:extLst>
                <a:ext uri="{FF2B5EF4-FFF2-40B4-BE49-F238E27FC236}">
                  <a16:creationId xmlns:a16="http://schemas.microsoft.com/office/drawing/2014/main" id="{3826B9F9-10EF-48F5-896D-EEB0267058B8}"/>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1666220" y="655320"/>
              <a:ext cx="2385060" cy="2004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83820</xdr:colOff>
      <xdr:row>15</xdr:row>
      <xdr:rowOff>60961</xdr:rowOff>
    </xdr:from>
    <xdr:to>
      <xdr:col>22</xdr:col>
      <xdr:colOff>594360</xdr:colOff>
      <xdr:row>22</xdr:row>
      <xdr:rowOff>137160</xdr:rowOff>
    </xdr:to>
    <mc:AlternateContent xmlns:mc="http://schemas.openxmlformats.org/markup-compatibility/2006" xmlns:a14="http://schemas.microsoft.com/office/drawing/2010/main">
      <mc:Choice Requires="a14">
        <xdr:graphicFrame macro="">
          <xdr:nvGraphicFramePr>
            <xdr:cNvPr id="12" name="Column1 1">
              <a:extLst>
                <a:ext uri="{FF2B5EF4-FFF2-40B4-BE49-F238E27FC236}">
                  <a16:creationId xmlns:a16="http://schemas.microsoft.com/office/drawing/2014/main" id="{1A97D888-DBAF-4BBF-80B7-4C29164710A9}"/>
                </a:ext>
              </a:extLst>
            </xdr:cNvPr>
            <xdr:cNvGraphicFramePr/>
          </xdr:nvGraphicFramePr>
          <xdr:xfrm>
            <a:off x="0" y="0"/>
            <a:ext cx="0" cy="0"/>
          </xdr:xfrm>
          <a:graphic>
            <a:graphicData uri="http://schemas.microsoft.com/office/drawing/2010/slicer">
              <sle:slicer xmlns:sle="http://schemas.microsoft.com/office/drawing/2010/slicer" name="Column1 1"/>
            </a:graphicData>
          </a:graphic>
        </xdr:graphicFrame>
      </mc:Choice>
      <mc:Fallback xmlns="">
        <xdr:sp macro="" textlink="">
          <xdr:nvSpPr>
            <xdr:cNvPr id="0" name=""/>
            <xdr:cNvSpPr>
              <a:spLocks noTextEdit="1"/>
            </xdr:cNvSpPr>
          </xdr:nvSpPr>
          <xdr:spPr>
            <a:xfrm>
              <a:off x="11666220" y="2804161"/>
              <a:ext cx="2339340" cy="1356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0</xdr:row>
      <xdr:rowOff>0</xdr:rowOff>
    </xdr:from>
    <xdr:to>
      <xdr:col>3</xdr:col>
      <xdr:colOff>304800</xdr:colOff>
      <xdr:row>1</xdr:row>
      <xdr:rowOff>121920</xdr:rowOff>
    </xdr:to>
    <xdr:sp macro="" textlink="">
      <xdr:nvSpPr>
        <xdr:cNvPr id="1025" name="AutoShape 1" descr="Dendrow - London Estate Agents - Paddington, Ealing, Little Venice ...">
          <a:extLst>
            <a:ext uri="{FF2B5EF4-FFF2-40B4-BE49-F238E27FC236}">
              <a16:creationId xmlns:a16="http://schemas.microsoft.com/office/drawing/2014/main" id="{E818F2D1-2A85-A29F-C02B-93C0A172D8FD}"/>
            </a:ext>
          </a:extLst>
        </xdr:cNvPr>
        <xdr:cNvSpPr>
          <a:spLocks noChangeAspect="1" noChangeArrowheads="1"/>
        </xdr:cNvSpPr>
      </xdr:nvSpPr>
      <xdr:spPr bwMode="auto">
        <a:xfrm>
          <a:off x="18288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11</xdr:col>
      <xdr:colOff>22860</xdr:colOff>
      <xdr:row>19</xdr:row>
      <xdr:rowOff>114300</xdr:rowOff>
    </xdr:from>
    <xdr:to>
      <xdr:col>18</xdr:col>
      <xdr:colOff>594360</xdr:colOff>
      <xdr:row>33</xdr:row>
      <xdr:rowOff>0</xdr:rowOff>
    </xdr:to>
    <xdr:graphicFrame macro="">
      <xdr:nvGraphicFramePr>
        <xdr:cNvPr id="6" name="Chart 5">
          <a:extLst>
            <a:ext uri="{FF2B5EF4-FFF2-40B4-BE49-F238E27FC236}">
              <a16:creationId xmlns:a16="http://schemas.microsoft.com/office/drawing/2014/main" id="{EE637936-0B50-4E57-BAAD-8CA8A36BA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175260</xdr:rowOff>
    </xdr:from>
    <xdr:to>
      <xdr:col>3</xdr:col>
      <xdr:colOff>83820</xdr:colOff>
      <xdr:row>35</xdr:row>
      <xdr:rowOff>114300</xdr:rowOff>
    </xdr:to>
    <xdr:grpSp>
      <xdr:nvGrpSpPr>
        <xdr:cNvPr id="30" name="Group 29">
          <a:extLst>
            <a:ext uri="{FF2B5EF4-FFF2-40B4-BE49-F238E27FC236}">
              <a16:creationId xmlns:a16="http://schemas.microsoft.com/office/drawing/2014/main" id="{B23F5035-8C5D-A6E6-9B2D-F95172D14057}"/>
            </a:ext>
          </a:extLst>
        </xdr:cNvPr>
        <xdr:cNvGrpSpPr/>
      </xdr:nvGrpSpPr>
      <xdr:grpSpPr>
        <a:xfrm>
          <a:off x="0" y="536621"/>
          <a:ext cx="1922047" cy="5901493"/>
          <a:chOff x="-27146" y="367354"/>
          <a:chExt cx="2271237" cy="5829300"/>
        </a:xfrm>
        <a:solidFill>
          <a:srgbClr val="00CAD5"/>
        </a:solidFill>
      </xdr:grpSpPr>
      <xdr:sp macro="" textlink="">
        <xdr:nvSpPr>
          <xdr:cNvPr id="34" name="Rectangle 33">
            <a:extLst>
              <a:ext uri="{FF2B5EF4-FFF2-40B4-BE49-F238E27FC236}">
                <a16:creationId xmlns:a16="http://schemas.microsoft.com/office/drawing/2014/main" id="{844092DB-3E2B-3F7B-2668-DDB1F8556625}"/>
              </a:ext>
            </a:extLst>
          </xdr:cNvPr>
          <xdr:cNvSpPr/>
        </xdr:nvSpPr>
        <xdr:spPr>
          <a:xfrm>
            <a:off x="-27146" y="367354"/>
            <a:ext cx="2271237" cy="5829300"/>
          </a:xfrm>
          <a:prstGeom prst="rect">
            <a:avLst/>
          </a:prstGeom>
          <a:grpFill/>
          <a:ln>
            <a:noFill/>
          </a:ln>
          <a:effectLst>
            <a:outerShdw blurRad="50800" dist="38100" dir="2700000" sx="104000" sy="104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sp macro="" textlink="">
        <xdr:nvSpPr>
          <xdr:cNvPr id="35" name="TextBox 34">
            <a:extLst>
              <a:ext uri="{FF2B5EF4-FFF2-40B4-BE49-F238E27FC236}">
                <a16:creationId xmlns:a16="http://schemas.microsoft.com/office/drawing/2014/main" id="{173D0402-B42E-381C-27B0-7AE7170707CA}"/>
              </a:ext>
            </a:extLst>
          </xdr:cNvPr>
          <xdr:cNvSpPr txBox="1"/>
        </xdr:nvSpPr>
        <xdr:spPr>
          <a:xfrm>
            <a:off x="0" y="1683476"/>
            <a:ext cx="1882140" cy="3886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a:t>💰 </a:t>
            </a:r>
            <a:r>
              <a:rPr lang="en-IN" sz="1600" b="1"/>
              <a:t>Avg </a:t>
            </a:r>
            <a:r>
              <a:rPr lang="en-IN" sz="1600" b="1">
                <a:solidFill>
                  <a:schemeClr val="dk1"/>
                </a:solidFill>
                <a:latin typeface="+mn-lt"/>
                <a:ea typeface="+mn-ea"/>
                <a:cs typeface="+mn-cs"/>
              </a:rPr>
              <a:t>Price</a:t>
            </a:r>
            <a:r>
              <a:rPr lang="en-IN" sz="1600" b="1"/>
              <a:t> </a:t>
            </a:r>
            <a:endParaRPr lang="en-IN" sz="1600" b="1">
              <a:solidFill>
                <a:schemeClr val="dk1"/>
              </a:solidFill>
              <a:latin typeface="+mn-lt"/>
              <a:ea typeface="+mn-ea"/>
              <a:cs typeface="+mn-cs"/>
            </a:endParaRPr>
          </a:p>
        </xdr:txBody>
      </xdr:sp>
      <xdr:sp macro="" textlink="">
        <xdr:nvSpPr>
          <xdr:cNvPr id="36" name="TextBox 35">
            <a:extLst>
              <a:ext uri="{FF2B5EF4-FFF2-40B4-BE49-F238E27FC236}">
                <a16:creationId xmlns:a16="http://schemas.microsoft.com/office/drawing/2014/main" id="{97F73EC7-EC1A-9D7C-4FBF-D7593CB39B21}"/>
              </a:ext>
            </a:extLst>
          </xdr:cNvPr>
          <xdr:cNvSpPr txBox="1"/>
        </xdr:nvSpPr>
        <xdr:spPr>
          <a:xfrm>
            <a:off x="0" y="815340"/>
            <a:ext cx="2126456" cy="3886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Aptos" panose="020B0004020202020204" pitchFamily="34" charset="0"/>
              </a:rPr>
              <a:t>🏠 </a:t>
            </a:r>
            <a:r>
              <a:rPr lang="en-IN" sz="1600" b="1">
                <a:latin typeface="Aptos" panose="020B0004020202020204" pitchFamily="34" charset="0"/>
              </a:rPr>
              <a:t>Total </a:t>
            </a:r>
            <a:r>
              <a:rPr lang="en-IN" sz="1600" b="1">
                <a:solidFill>
                  <a:schemeClr val="dk1"/>
                </a:solidFill>
                <a:latin typeface="Aptos" panose="020B0004020202020204" pitchFamily="34" charset="0"/>
                <a:ea typeface="+mn-ea"/>
                <a:cs typeface="+mn-cs"/>
              </a:rPr>
              <a:t>Listings</a:t>
            </a:r>
            <a:r>
              <a:rPr lang="en-IN" sz="1600">
                <a:latin typeface="Aptos" panose="020B0004020202020204" pitchFamily="34" charset="0"/>
              </a:rPr>
              <a:t> </a:t>
            </a:r>
            <a:endParaRPr lang="en-IN" sz="1600" b="1">
              <a:solidFill>
                <a:schemeClr val="dk1"/>
              </a:solidFill>
              <a:latin typeface="Aptos" panose="020B0004020202020204" pitchFamily="34" charset="0"/>
              <a:ea typeface="+mn-ea"/>
              <a:cs typeface="+mn-cs"/>
            </a:endParaRPr>
          </a:p>
        </xdr:txBody>
      </xdr:sp>
      <xdr:sp macro="" textlink="'KPI''S'!B5">
        <xdr:nvSpPr>
          <xdr:cNvPr id="37" name="TextBox 36">
            <a:extLst>
              <a:ext uri="{FF2B5EF4-FFF2-40B4-BE49-F238E27FC236}">
                <a16:creationId xmlns:a16="http://schemas.microsoft.com/office/drawing/2014/main" id="{26B8FF6C-6ED8-AE7C-2973-67C09C2D594C}"/>
              </a:ext>
            </a:extLst>
          </xdr:cNvPr>
          <xdr:cNvSpPr txBox="1"/>
        </xdr:nvSpPr>
        <xdr:spPr>
          <a:xfrm>
            <a:off x="398145" y="1085355"/>
            <a:ext cx="1295400" cy="3886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24F570-15BB-4C38-805C-A67EEF272CD3}" type="TxLink">
              <a:rPr lang="en-US" sz="1800" b="1" i="0" u="none" strike="noStrike">
                <a:gradFill flip="none" rotWithShape="1">
                  <a:gsLst>
                    <a:gs pos="0">
                      <a:srgbClr val="6C737C"/>
                    </a:gs>
                    <a:gs pos="76000">
                      <a:schemeClr val="tx1">
                        <a:lumMod val="95000"/>
                        <a:lumOff val="5000"/>
                      </a:schemeClr>
                    </a:gs>
                  </a:gsLst>
                  <a:lin ang="2700000" scaled="1"/>
                  <a:tileRect/>
                </a:gradFill>
                <a:effectLst>
                  <a:outerShdw blurRad="444500" dist="127000" dir="6600000" sx="84000" sy="84000" rotWithShape="0">
                    <a:schemeClr val="tx1">
                      <a:alpha val="39000"/>
                    </a:schemeClr>
                  </a:outerShdw>
                </a:effectLst>
                <a:latin typeface="Calibri"/>
                <a:ea typeface="Calibri"/>
                <a:cs typeface="Calibri"/>
              </a:rPr>
              <a:pPr algn="ctr"/>
              <a:t>251</a:t>
            </a:fld>
            <a:r>
              <a:rPr lang="en-US" sz="1800" b="1" i="0" u="none" strike="noStrike">
                <a:gradFill flip="none" rotWithShape="1">
                  <a:gsLst>
                    <a:gs pos="0">
                      <a:srgbClr val="6C737C"/>
                    </a:gs>
                    <a:gs pos="76000">
                      <a:schemeClr val="tx1">
                        <a:lumMod val="95000"/>
                        <a:lumOff val="5000"/>
                      </a:schemeClr>
                    </a:gs>
                  </a:gsLst>
                  <a:lin ang="2700000" scaled="1"/>
                  <a:tileRect/>
                </a:gradFill>
                <a:effectLst>
                  <a:outerShdw blurRad="444500" dist="127000" dir="6600000" sx="84000" sy="84000" rotWithShape="0">
                    <a:schemeClr val="tx1">
                      <a:alpha val="39000"/>
                    </a:schemeClr>
                  </a:outerShdw>
                </a:effectLst>
                <a:latin typeface="Calibri"/>
                <a:ea typeface="Calibri"/>
                <a:cs typeface="Calibri"/>
              </a:rPr>
              <a:t> </a:t>
            </a:r>
            <a:endParaRPr lang="en-IN" sz="1800" b="1">
              <a:gradFill flip="none" rotWithShape="1">
                <a:gsLst>
                  <a:gs pos="0">
                    <a:srgbClr val="6C737C"/>
                  </a:gs>
                  <a:gs pos="76000">
                    <a:schemeClr val="tx1">
                      <a:lumMod val="95000"/>
                      <a:lumOff val="5000"/>
                    </a:schemeClr>
                  </a:gs>
                </a:gsLst>
                <a:lin ang="2700000" scaled="1"/>
                <a:tileRect/>
              </a:gradFill>
              <a:effectLst>
                <a:outerShdw blurRad="444500" dist="127000" dir="6600000" sx="84000" sy="84000" rotWithShape="0">
                  <a:schemeClr val="tx1">
                    <a:alpha val="39000"/>
                  </a:schemeClr>
                </a:outerShdw>
              </a:effectLst>
            </a:endParaRPr>
          </a:p>
        </xdr:txBody>
      </xdr:sp>
      <xdr:sp macro="" textlink="'KPI''S'!C7">
        <xdr:nvSpPr>
          <xdr:cNvPr id="41" name="TextBox 40">
            <a:extLst>
              <a:ext uri="{FF2B5EF4-FFF2-40B4-BE49-F238E27FC236}">
                <a16:creationId xmlns:a16="http://schemas.microsoft.com/office/drawing/2014/main" id="{AE580529-5EA0-DCF9-5DB3-0CCC5D02C998}"/>
              </a:ext>
            </a:extLst>
          </xdr:cNvPr>
          <xdr:cNvSpPr txBox="1"/>
        </xdr:nvSpPr>
        <xdr:spPr>
          <a:xfrm>
            <a:off x="434340" y="1976154"/>
            <a:ext cx="1295400" cy="3886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gradFill flip="none" rotWithShape="1">
                  <a:gsLst>
                    <a:gs pos="0">
                      <a:srgbClr val="6C737C"/>
                    </a:gs>
                    <a:gs pos="76000">
                      <a:schemeClr val="tx1">
                        <a:lumMod val="95000"/>
                        <a:lumOff val="5000"/>
                      </a:schemeClr>
                    </a:gs>
                  </a:gsLst>
                  <a:lin ang="2700000" scaled="1"/>
                  <a:tileRect/>
                </a:gradFill>
                <a:effectLst>
                  <a:outerShdw blurRad="444500" dist="127000" dir="6600000" sx="84000" sy="84000" rotWithShape="0">
                    <a:schemeClr val="tx1">
                      <a:alpha val="39000"/>
                    </a:schemeClr>
                  </a:outerShdw>
                </a:effectLst>
                <a:latin typeface="Calibri"/>
                <a:ea typeface="Calibri"/>
                <a:cs typeface="Calibri"/>
              </a:rPr>
              <a:t>$</a:t>
            </a:r>
            <a:fld id="{699458FA-43C5-4A0A-8F14-99D057E594BE}" type="TxLink">
              <a:rPr lang="en-US" sz="1800" b="1" i="0" u="none" strike="noStrike">
                <a:gradFill flip="none" rotWithShape="1">
                  <a:gsLst>
                    <a:gs pos="0">
                      <a:srgbClr val="6C737C"/>
                    </a:gs>
                    <a:gs pos="76000">
                      <a:schemeClr val="tx1">
                        <a:lumMod val="95000"/>
                        <a:lumOff val="5000"/>
                      </a:schemeClr>
                    </a:gs>
                  </a:gsLst>
                  <a:lin ang="2700000" scaled="1"/>
                  <a:tileRect/>
                </a:gradFill>
                <a:effectLst>
                  <a:outerShdw blurRad="444500" dist="127000" dir="6600000" sx="84000" sy="84000" rotWithShape="0">
                    <a:schemeClr val="tx1">
                      <a:alpha val="39000"/>
                    </a:schemeClr>
                  </a:outerShdw>
                </a:effectLst>
                <a:latin typeface="Calibri"/>
                <a:ea typeface="Calibri"/>
                <a:cs typeface="Calibri"/>
              </a:rPr>
              <a:pPr marL="0" indent="0" algn="ctr"/>
              <a:t>1.17m</a:t>
            </a:fld>
            <a:endParaRPr lang="en-IN" sz="1800" b="1" i="0" u="none" strike="noStrike">
              <a:gradFill flip="none" rotWithShape="1">
                <a:gsLst>
                  <a:gs pos="0">
                    <a:srgbClr val="6C737C"/>
                  </a:gs>
                  <a:gs pos="76000">
                    <a:schemeClr val="tx1">
                      <a:lumMod val="95000"/>
                      <a:lumOff val="5000"/>
                    </a:schemeClr>
                  </a:gs>
                </a:gsLst>
                <a:lin ang="2700000" scaled="1"/>
                <a:tileRect/>
              </a:gradFill>
              <a:effectLst>
                <a:outerShdw blurRad="444500" dist="127000" dir="6600000" sx="84000" sy="84000" rotWithShape="0">
                  <a:schemeClr val="tx1">
                    <a:alpha val="39000"/>
                  </a:schemeClr>
                </a:outerShdw>
              </a:effectLst>
              <a:latin typeface="Calibri"/>
              <a:ea typeface="Calibri"/>
              <a:cs typeface="Calibri"/>
            </a:endParaRPr>
          </a:p>
        </xdr:txBody>
      </xdr:sp>
      <xdr:sp macro="" textlink="">
        <xdr:nvSpPr>
          <xdr:cNvPr id="10" name="TextBox 9">
            <a:extLst>
              <a:ext uri="{FF2B5EF4-FFF2-40B4-BE49-F238E27FC236}">
                <a16:creationId xmlns:a16="http://schemas.microsoft.com/office/drawing/2014/main" id="{F2659C71-8C3F-FEB1-918C-C125A9A1CCE8}"/>
              </a:ext>
            </a:extLst>
          </xdr:cNvPr>
          <xdr:cNvSpPr txBox="1"/>
        </xdr:nvSpPr>
        <xdr:spPr>
          <a:xfrm>
            <a:off x="27147" y="3237391"/>
            <a:ext cx="1782604" cy="75840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chemeClr val="dk1"/>
                </a:solidFill>
                <a:latin typeface="+mn-lt"/>
                <a:ea typeface="+mn-ea"/>
                <a:cs typeface="+mn-cs"/>
              </a:rPr>
              <a:t>📐 Avg Price</a:t>
            </a:r>
          </a:p>
          <a:p>
            <a:pPr marL="0" indent="0" algn="ctr"/>
            <a:r>
              <a:rPr lang="en-IN" sz="1600" b="1">
                <a:solidFill>
                  <a:schemeClr val="dk1"/>
                </a:solidFill>
                <a:latin typeface="+mn-lt"/>
                <a:ea typeface="+mn-ea"/>
                <a:cs typeface="+mn-cs"/>
              </a:rPr>
              <a:t>     per Sqft</a:t>
            </a:r>
          </a:p>
        </xdr:txBody>
      </xdr:sp>
      <xdr:grpSp>
        <xdr:nvGrpSpPr>
          <xdr:cNvPr id="21" name="Group 20">
            <a:extLst>
              <a:ext uri="{FF2B5EF4-FFF2-40B4-BE49-F238E27FC236}">
                <a16:creationId xmlns:a16="http://schemas.microsoft.com/office/drawing/2014/main" id="{2B0C1111-2EBB-5140-F128-DB0829579D45}"/>
              </a:ext>
            </a:extLst>
          </xdr:cNvPr>
          <xdr:cNvGrpSpPr/>
        </xdr:nvGrpSpPr>
        <xdr:grpSpPr>
          <a:xfrm>
            <a:off x="0" y="2550179"/>
            <a:ext cx="2017871" cy="681146"/>
            <a:chOff x="-15240" y="2413019"/>
            <a:chExt cx="2017871" cy="681146"/>
          </a:xfrm>
          <a:grpFill/>
        </xdr:grpSpPr>
        <xdr:sp macro="" textlink="">
          <xdr:nvSpPr>
            <xdr:cNvPr id="27" name="TextBox 26">
              <a:extLst>
                <a:ext uri="{FF2B5EF4-FFF2-40B4-BE49-F238E27FC236}">
                  <a16:creationId xmlns:a16="http://schemas.microsoft.com/office/drawing/2014/main" id="{4701D20F-BB3B-67C4-89E2-6F59A38062D1}"/>
                </a:ext>
              </a:extLst>
            </xdr:cNvPr>
            <xdr:cNvSpPr txBox="1"/>
          </xdr:nvSpPr>
          <xdr:spPr>
            <a:xfrm>
              <a:off x="-15240" y="2413019"/>
              <a:ext cx="2017871" cy="4114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a:t>📊 </a:t>
              </a:r>
              <a:r>
                <a:rPr lang="en-IN" sz="1600" b="1"/>
                <a:t>Median </a:t>
              </a:r>
              <a:r>
                <a:rPr lang="en-IN" sz="1600" b="1">
                  <a:solidFill>
                    <a:schemeClr val="dk1"/>
                  </a:solidFill>
                  <a:latin typeface="+mn-lt"/>
                  <a:ea typeface="+mn-ea"/>
                  <a:cs typeface="+mn-cs"/>
                </a:rPr>
                <a:t>Price</a:t>
              </a:r>
            </a:p>
          </xdr:txBody>
        </xdr:sp>
        <xdr:sp macro="" textlink="'KPI''S'!C9">
          <xdr:nvSpPr>
            <xdr:cNvPr id="28" name="TextBox 27">
              <a:extLst>
                <a:ext uri="{FF2B5EF4-FFF2-40B4-BE49-F238E27FC236}">
                  <a16:creationId xmlns:a16="http://schemas.microsoft.com/office/drawing/2014/main" id="{6A059576-6DE0-C763-E658-1BEFC9383038}"/>
                </a:ext>
              </a:extLst>
            </xdr:cNvPr>
            <xdr:cNvSpPr txBox="1"/>
          </xdr:nvSpPr>
          <xdr:spPr>
            <a:xfrm>
              <a:off x="398145" y="2705545"/>
              <a:ext cx="1295400" cy="3886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gradFill flip="none" rotWithShape="1">
                    <a:gsLst>
                      <a:gs pos="0">
                        <a:srgbClr val="6C737C"/>
                      </a:gs>
                      <a:gs pos="76000">
                        <a:schemeClr val="tx1">
                          <a:lumMod val="95000"/>
                          <a:lumOff val="5000"/>
                        </a:schemeClr>
                      </a:gs>
                    </a:gsLst>
                    <a:lin ang="2700000" scaled="1"/>
                    <a:tileRect/>
                  </a:gradFill>
                  <a:effectLst>
                    <a:outerShdw blurRad="444500" dist="127000" dir="6600000" sx="84000" sy="84000" rotWithShape="0">
                      <a:schemeClr val="tx1">
                        <a:alpha val="39000"/>
                      </a:schemeClr>
                    </a:outerShdw>
                  </a:effectLst>
                  <a:latin typeface="Calibri"/>
                  <a:ea typeface="Calibri"/>
                  <a:cs typeface="Calibri"/>
                </a:rPr>
                <a:t>$</a:t>
              </a:r>
              <a:fld id="{9793C8F8-73BC-4866-84EF-C9F9305CAA64}" type="TxLink">
                <a:rPr lang="en-US" sz="1800" b="1" i="0" u="none" strike="noStrike">
                  <a:gradFill flip="none" rotWithShape="1">
                    <a:gsLst>
                      <a:gs pos="0">
                        <a:srgbClr val="6C737C"/>
                      </a:gs>
                      <a:gs pos="76000">
                        <a:schemeClr val="tx1">
                          <a:lumMod val="95000"/>
                          <a:lumOff val="5000"/>
                        </a:schemeClr>
                      </a:gs>
                    </a:gsLst>
                    <a:lin ang="2700000" scaled="1"/>
                    <a:tileRect/>
                  </a:gradFill>
                  <a:effectLst>
                    <a:outerShdw blurRad="444500" dist="127000" dir="6600000" sx="84000" sy="84000" rotWithShape="0">
                      <a:schemeClr val="tx1">
                        <a:alpha val="39000"/>
                      </a:schemeClr>
                    </a:outerShdw>
                  </a:effectLst>
                  <a:latin typeface="Calibri"/>
                  <a:ea typeface="Calibri"/>
                  <a:cs typeface="Calibri"/>
                </a:rPr>
                <a:pPr marL="0" indent="0" algn="ctr"/>
                <a:t>1.15m</a:t>
              </a:fld>
              <a:endParaRPr lang="en-IN" sz="1800" b="1" i="0" u="none" strike="noStrike">
                <a:gradFill flip="none" rotWithShape="1">
                  <a:gsLst>
                    <a:gs pos="0">
                      <a:srgbClr val="6C737C"/>
                    </a:gs>
                    <a:gs pos="76000">
                      <a:schemeClr val="tx1">
                        <a:lumMod val="95000"/>
                        <a:lumOff val="5000"/>
                      </a:schemeClr>
                    </a:gs>
                  </a:gsLst>
                  <a:lin ang="2700000" scaled="1"/>
                  <a:tileRect/>
                </a:gradFill>
                <a:effectLst>
                  <a:outerShdw blurRad="444500" dist="127000" dir="6600000" sx="84000" sy="84000" rotWithShape="0">
                    <a:schemeClr val="tx1">
                      <a:alpha val="39000"/>
                    </a:schemeClr>
                  </a:outerShdw>
                </a:effectLst>
                <a:latin typeface="Calibri"/>
                <a:ea typeface="Calibri"/>
                <a:cs typeface="Calibri"/>
              </a:endParaRPr>
            </a:p>
          </xdr:txBody>
        </xdr:sp>
      </xdr:grpSp>
      <xdr:sp macro="" textlink="'KPI''S'!C11">
        <xdr:nvSpPr>
          <xdr:cNvPr id="29" name="TextBox 28">
            <a:extLst>
              <a:ext uri="{FF2B5EF4-FFF2-40B4-BE49-F238E27FC236}">
                <a16:creationId xmlns:a16="http://schemas.microsoft.com/office/drawing/2014/main" id="{54B8395E-7104-510C-F278-ED31D66D088C}"/>
              </a:ext>
            </a:extLst>
          </xdr:cNvPr>
          <xdr:cNvSpPr txBox="1"/>
        </xdr:nvSpPr>
        <xdr:spPr>
          <a:xfrm>
            <a:off x="322898" y="3860092"/>
            <a:ext cx="1295400" cy="3886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DDAFA1-B735-4A41-837C-9006A55AE671}" type="TxLink">
              <a:rPr lang="en-US" sz="1800" b="1" i="0" u="none" strike="noStrike">
                <a:gradFill flip="none" rotWithShape="1">
                  <a:gsLst>
                    <a:gs pos="0">
                      <a:srgbClr val="6C737C"/>
                    </a:gs>
                    <a:gs pos="76000">
                      <a:schemeClr val="tx1">
                        <a:lumMod val="95000"/>
                        <a:lumOff val="5000"/>
                      </a:schemeClr>
                    </a:gs>
                  </a:gsLst>
                  <a:lin ang="2700000" scaled="1"/>
                  <a:tileRect/>
                </a:gradFill>
                <a:effectLst>
                  <a:outerShdw blurRad="444500" dist="127000" dir="6600000" sx="84000" sy="84000" rotWithShape="0">
                    <a:schemeClr val="tx1">
                      <a:alpha val="39000"/>
                    </a:schemeClr>
                  </a:outerShdw>
                </a:effectLst>
                <a:latin typeface="Calibri"/>
                <a:ea typeface="Calibri"/>
                <a:cs typeface="Calibri"/>
              </a:rPr>
              <a:pPr marL="0" indent="0" algn="ctr"/>
              <a:t>$536</a:t>
            </a:fld>
            <a:endParaRPr lang="en-IN" sz="1800" b="1" i="0" u="none" strike="noStrike">
              <a:gradFill flip="none" rotWithShape="1">
                <a:gsLst>
                  <a:gs pos="0">
                    <a:srgbClr val="6C737C"/>
                  </a:gs>
                  <a:gs pos="76000">
                    <a:schemeClr val="tx1">
                      <a:lumMod val="95000"/>
                      <a:lumOff val="5000"/>
                    </a:schemeClr>
                  </a:gs>
                </a:gsLst>
                <a:lin ang="2700000" scaled="1"/>
                <a:tileRect/>
              </a:gradFill>
              <a:effectLst>
                <a:outerShdw blurRad="444500" dist="127000" dir="6600000" sx="84000" sy="84000" rotWithShape="0">
                  <a:schemeClr val="tx1">
                    <a:alpha val="39000"/>
                  </a:schemeClr>
                </a:outerShdw>
              </a:effectLst>
              <a:latin typeface="Calibri"/>
              <a:ea typeface="Calibri"/>
              <a:cs typeface="Calibri"/>
            </a:endParaRPr>
          </a:p>
        </xdr:txBody>
      </xdr:sp>
    </xdr:grpSp>
    <xdr:clientData/>
  </xdr:twoCellAnchor>
  <xdr:twoCellAnchor editAs="oneCell">
    <xdr:from>
      <xdr:col>0</xdr:col>
      <xdr:colOff>1</xdr:colOff>
      <xdr:row>0</xdr:row>
      <xdr:rowOff>0</xdr:rowOff>
    </xdr:from>
    <xdr:to>
      <xdr:col>3</xdr:col>
      <xdr:colOff>79904</xdr:colOff>
      <xdr:row>4</xdr:row>
      <xdr:rowOff>83820</xdr:rowOff>
    </xdr:to>
    <xdr:pic>
      <xdr:nvPicPr>
        <xdr:cNvPr id="11" name="Picture 10">
          <a:extLst>
            <a:ext uri="{FF2B5EF4-FFF2-40B4-BE49-F238E27FC236}">
              <a16:creationId xmlns:a16="http://schemas.microsoft.com/office/drawing/2014/main" id="{3EDA92DD-4D7E-ED3D-6889-B7C85DF79CF1}"/>
            </a:ext>
          </a:extLst>
        </xdr:cNvPr>
        <xdr:cNvPicPr>
          <a:picLocks noChangeAspect="1"/>
        </xdr:cNvPicPr>
      </xdr:nvPicPr>
      <xdr:blipFill rotWithShape="1">
        <a:blip xmlns:r="http://schemas.openxmlformats.org/officeDocument/2006/relationships" r:embed="rId2"/>
        <a:srcRect t="25869" b="10898"/>
        <a:stretch>
          <a:fillRect/>
        </a:stretch>
      </xdr:blipFill>
      <xdr:spPr>
        <a:xfrm>
          <a:off x="1" y="0"/>
          <a:ext cx="1908703" cy="815340"/>
        </a:xfrm>
        <a:prstGeom prst="rect">
          <a:avLst/>
        </a:prstGeom>
      </xdr:spPr>
    </xdr:pic>
    <xdr:clientData/>
  </xdr:twoCellAnchor>
  <xdr:twoCellAnchor>
    <xdr:from>
      <xdr:col>3</xdr:col>
      <xdr:colOff>182880</xdr:colOff>
      <xdr:row>3</xdr:row>
      <xdr:rowOff>129540</xdr:rowOff>
    </xdr:from>
    <xdr:to>
      <xdr:col>10</xdr:col>
      <xdr:colOff>502920</xdr:colOff>
      <xdr:row>18</xdr:row>
      <xdr:rowOff>152400</xdr:rowOff>
    </xdr:to>
    <xdr:graphicFrame macro="">
      <xdr:nvGraphicFramePr>
        <xdr:cNvPr id="2" name="Chart 1">
          <a:extLst>
            <a:ext uri="{FF2B5EF4-FFF2-40B4-BE49-F238E27FC236}">
              <a16:creationId xmlns:a16="http://schemas.microsoft.com/office/drawing/2014/main" id="{17295E73-9033-0DE0-5B00-DE2ED2C5A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30480</xdr:colOff>
      <xdr:row>3</xdr:row>
      <xdr:rowOff>106680</xdr:rowOff>
    </xdr:from>
    <xdr:to>
      <xdr:col>18</xdr:col>
      <xdr:colOff>556260</xdr:colOff>
      <xdr:row>18</xdr:row>
      <xdr:rowOff>144780</xdr:rowOff>
    </xdr:to>
    <xdr:graphicFrame macro="">
      <xdr:nvGraphicFramePr>
        <xdr:cNvPr id="13" name="Chart 12">
          <a:extLst>
            <a:ext uri="{FF2B5EF4-FFF2-40B4-BE49-F238E27FC236}">
              <a16:creationId xmlns:a16="http://schemas.microsoft.com/office/drawing/2014/main" id="{D9CA5F21-5250-29ED-24AA-59C6E80AB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198120</xdr:colOff>
      <xdr:row>19</xdr:row>
      <xdr:rowOff>152400</xdr:rowOff>
    </xdr:from>
    <xdr:to>
      <xdr:col>10</xdr:col>
      <xdr:colOff>502920</xdr:colOff>
      <xdr:row>32</xdr:row>
      <xdr:rowOff>175260</xdr:rowOff>
    </xdr:to>
    <xdr:graphicFrame macro="">
      <xdr:nvGraphicFramePr>
        <xdr:cNvPr id="14" name="Chart 13">
          <a:extLst>
            <a:ext uri="{FF2B5EF4-FFF2-40B4-BE49-F238E27FC236}">
              <a16:creationId xmlns:a16="http://schemas.microsoft.com/office/drawing/2014/main" id="{39D7D7FD-64FE-5CE6-7FF2-176C99C38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24</xdr:row>
      <xdr:rowOff>160020</xdr:rowOff>
    </xdr:from>
    <xdr:to>
      <xdr:col>3</xdr:col>
      <xdr:colOff>68704</xdr:colOff>
      <xdr:row>32</xdr:row>
      <xdr:rowOff>114300</xdr:rowOff>
    </xdr:to>
    <xdr:pic>
      <xdr:nvPicPr>
        <xdr:cNvPr id="15" name="Picture 14">
          <a:extLst>
            <a:ext uri="{FF2B5EF4-FFF2-40B4-BE49-F238E27FC236}">
              <a16:creationId xmlns:a16="http://schemas.microsoft.com/office/drawing/2014/main" id="{354C7ACC-32B1-8E72-7BE3-D8C5879E6249}"/>
            </a:ext>
          </a:extLst>
        </xdr:cNvPr>
        <xdr:cNvPicPr>
          <a:picLocks noChangeAspect="1"/>
        </xdr:cNvPicPr>
      </xdr:nvPicPr>
      <xdr:blipFill>
        <a:blip xmlns:r="http://schemas.openxmlformats.org/officeDocument/2006/relationships" r:embed="rId6"/>
        <a:stretch>
          <a:fillRect/>
        </a:stretch>
      </xdr:blipFill>
      <xdr:spPr>
        <a:xfrm>
          <a:off x="0" y="4549140"/>
          <a:ext cx="1897504" cy="1417320"/>
        </a:xfrm>
        <a:prstGeom prst="rect">
          <a:avLst/>
        </a:prstGeom>
      </xdr:spPr>
    </xdr:pic>
    <xdr:clientData/>
  </xdr:twoCellAnchor>
  <xdr:twoCellAnchor editAs="oneCell">
    <xdr:from>
      <xdr:col>19</xdr:col>
      <xdr:colOff>106680</xdr:colOff>
      <xdr:row>23</xdr:row>
      <xdr:rowOff>99061</xdr:rowOff>
    </xdr:from>
    <xdr:to>
      <xdr:col>23</xdr:col>
      <xdr:colOff>15240</xdr:colOff>
      <xdr:row>29</xdr:row>
      <xdr:rowOff>175260</xdr:rowOff>
    </xdr:to>
    <mc:AlternateContent xmlns:mc="http://schemas.openxmlformats.org/markup-compatibility/2006" xmlns:a14="http://schemas.microsoft.com/office/drawing/2010/main">
      <mc:Choice Requires="a14">
        <xdr:graphicFrame macro="">
          <xdr:nvGraphicFramePr>
            <xdr:cNvPr id="16" name="Bedrooms">
              <a:extLst>
                <a:ext uri="{FF2B5EF4-FFF2-40B4-BE49-F238E27FC236}">
                  <a16:creationId xmlns:a16="http://schemas.microsoft.com/office/drawing/2014/main" id="{D2A983EF-F517-BE38-33E7-24E3D71AF084}"/>
                </a:ext>
              </a:extLst>
            </xdr:cNvPr>
            <xdr:cNvGraphicFramePr/>
          </xdr:nvGraphicFramePr>
          <xdr:xfrm>
            <a:off x="0" y="0"/>
            <a:ext cx="0" cy="0"/>
          </xdr:xfrm>
          <a:graphic>
            <a:graphicData uri="http://schemas.microsoft.com/office/drawing/2010/slicer">
              <sle:slicer xmlns:sle="http://schemas.microsoft.com/office/drawing/2010/slicer" name="Bedrooms"/>
            </a:graphicData>
          </a:graphic>
        </xdr:graphicFrame>
      </mc:Choice>
      <mc:Fallback xmlns="">
        <xdr:sp macro="" textlink="">
          <xdr:nvSpPr>
            <xdr:cNvPr id="0" name=""/>
            <xdr:cNvSpPr>
              <a:spLocks noTextEdit="1"/>
            </xdr:cNvSpPr>
          </xdr:nvSpPr>
          <xdr:spPr>
            <a:xfrm>
              <a:off x="11689080" y="4305301"/>
              <a:ext cx="234696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d gaikwad" refreshedDate="45969.584364814815" createdVersion="8" refreshedVersion="8" minRefreshableVersion="3" recordCount="250" xr:uid="{3CF2EB71-1BA0-4D1F-B289-35C376E1B805}">
  <cacheSource type="worksheet">
    <worksheetSource name="Sheet1"/>
  </cacheSource>
  <cacheFields count="20">
    <cacheField name="ListingID" numFmtId="0">
      <sharedItems/>
    </cacheField>
    <cacheField name="City" numFmtId="0">
      <sharedItems count="10">
        <s v="San Francisco"/>
        <s v="Seattle"/>
        <s v="Denver"/>
        <s v="New York"/>
        <s v="Boston"/>
        <s v="Miami"/>
        <s v="Portland"/>
        <s v="Los Angeles"/>
        <s v="Austin"/>
        <s v="Chicago"/>
      </sharedItems>
    </cacheField>
    <cacheField name="Neighborhood" numFmtId="0">
      <sharedItems/>
    </cacheField>
    <cacheField name="Area code" numFmtId="0">
      <sharedItems containsSemiMixedTypes="0" containsString="0" containsNumber="1" containsInteger="1" minValue="100" maxValue="998"/>
    </cacheField>
    <cacheField name="Address.2" numFmtId="0">
      <sharedItems/>
    </cacheField>
    <cacheField name="Bedrooms" numFmtId="0">
      <sharedItems containsSemiMixedTypes="0" containsString="0" containsNumber="1" containsInteger="1" minValue="1" maxValue="5" count="5">
        <n v="3"/>
        <n v="2"/>
        <n v="1"/>
        <n v="5"/>
        <n v="4"/>
      </sharedItems>
    </cacheField>
    <cacheField name="Bathrooms" numFmtId="0">
      <sharedItems containsSemiMixedTypes="0" containsString="0" containsNumber="1" containsInteger="1" minValue="1" maxValue="5"/>
    </cacheField>
    <cacheField name="Year_Built" numFmtId="0">
      <sharedItems containsSemiMixedTypes="0" containsString="0" containsNumber="1" containsInteger="1" minValue="1901" maxValue="2020"/>
    </cacheField>
    <cacheField name="Price_USD" numFmtId="0">
      <sharedItems containsSemiMixedTypes="0" containsString="0" containsNumber="1" minValue="340159.5" maxValue="2303834.88" count="250">
        <n v="1018658.72"/>
        <n v="868474.2"/>
        <n v="1167608.3"/>
        <n v="755717.48"/>
        <n v="800928"/>
        <n v="1503284.55"/>
        <n v="371805.11"/>
        <n v="928906.72"/>
        <n v="688274.4"/>
        <n v="1904194.8199999998"/>
        <n v="913654.5"/>
        <n v="597136.31999999995"/>
        <n v="883478.08000000007"/>
        <n v="1213024.54"/>
        <n v="479251.8"/>
        <n v="917114.4"/>
        <n v="1103386.24"/>
        <n v="1429387.68"/>
        <n v="1143692.3400000001"/>
        <n v="1035533.24"/>
        <n v="1488634.2"/>
        <n v="1850210.6"/>
        <n v="1254779.76"/>
        <n v="1050821.6600000001"/>
        <n v="1061475.24"/>
        <n v="1257999.8499999999"/>
        <n v="1369369.47"/>
        <n v="1207278.79"/>
        <n v="789651.7"/>
        <n v="657890.52"/>
        <n v="1164376.8"/>
        <n v="965007.6"/>
        <n v="581923.53999999992"/>
        <n v="971760.92"/>
        <n v="1184393.1200000001"/>
        <n v="2133885.83"/>
        <n v="862994.72000000009"/>
        <n v="952172.64999999991"/>
        <n v="1360161.5999999999"/>
        <n v="923348.39999999991"/>
        <n v="666821.57999999996"/>
        <n v="1205687"/>
        <n v="1413433.5999999999"/>
        <n v="1184435.6400000001"/>
        <n v="1099458.1400000001"/>
        <n v="1513480.3499999999"/>
        <n v="690554.28"/>
        <n v="596040.48"/>
        <n v="1678852.7"/>
        <n v="584602.20000000007"/>
        <n v="1608388.26"/>
        <n v="1702238.74"/>
        <n v="2303834.88"/>
        <n v="926451.44"/>
        <n v="1223536.6000000001"/>
        <n v="2045685.4600000002"/>
        <n v="517190.99000000005"/>
        <n v="910819.44"/>
        <n v="966067.41"/>
        <n v="1544547.3"/>
        <n v="575327.52"/>
        <n v="899527.46"/>
        <n v="697260.92"/>
        <n v="591652.59"/>
        <n v="1466215.9200000002"/>
        <n v="1266720"/>
        <n v="1110392.8500000001"/>
        <n v="1468780.4"/>
        <n v="373885.08"/>
        <n v="1734865.28"/>
        <n v="1931107.75"/>
        <n v="962910.3899999999"/>
        <n v="855068.63"/>
        <n v="1199602"/>
        <n v="1851262.48"/>
        <n v="766496.32"/>
        <n v="546643.01"/>
        <n v="1908411.84"/>
        <n v="1337500.1599999999"/>
        <n v="1316561.8700000001"/>
        <n v="902403.9"/>
        <n v="1921177.4400000002"/>
        <n v="1188948.44"/>
        <n v="1287474.9500000002"/>
        <n v="1978454.31"/>
        <n v="1969814.41"/>
        <n v="1095251.43"/>
        <n v="582253.64999999991"/>
        <n v="1571678.3699999999"/>
        <n v="1477544.38"/>
        <n v="825412.2"/>
        <n v="1380956.0399999998"/>
        <n v="1734617.5"/>
        <n v="1303971.8400000001"/>
        <n v="631093.96"/>
        <n v="517769.56"/>
        <n v="1039972.5"/>
        <n v="842459.01"/>
        <n v="1465591.61"/>
        <n v="798081.63"/>
        <n v="1110995.73"/>
        <n v="893165.49"/>
        <n v="1772334.14"/>
        <n v="1917293.22"/>
        <n v="693761.96000000008"/>
        <n v="600374.6"/>
        <n v="1345322.25"/>
        <n v="1545254.78"/>
        <n v="480679.68000000005"/>
        <n v="1824291"/>
        <n v="1126470.1499999999"/>
        <n v="523096.31"/>
        <n v="1174280"/>
        <n v="498481.2"/>
        <n v="564192.23"/>
        <n v="1175612.24"/>
        <n v="1726855.2"/>
        <n v="1914763.5"/>
        <n v="1192034.05"/>
        <n v="1431580.32"/>
        <n v="746099.9"/>
        <n v="2065280"/>
        <n v="1587456"/>
        <n v="600030.63"/>
        <n v="1205342.94"/>
        <n v="993171.24"/>
        <n v="1004844.58"/>
        <n v="910864.5"/>
        <n v="1069771.9000000001"/>
        <n v="1518484.52"/>
        <n v="577562.25"/>
        <n v="1304605.58"/>
        <n v="1404359.8"/>
        <n v="889534.0199999999"/>
        <n v="678106.77"/>
        <n v="611925.12"/>
        <n v="1643044.5"/>
        <n v="998642.32"/>
        <n v="775939.11"/>
        <n v="1166444.75"/>
        <n v="2232496"/>
        <n v="911118.39"/>
        <n v="1110733.9099999999"/>
        <n v="715346.4"/>
        <n v="670873.28"/>
        <n v="740679.59"/>
        <n v="926860.32"/>
        <n v="1515811.36"/>
        <n v="1397150.0999999999"/>
        <n v="1759788.15"/>
        <n v="1810814.2799999998"/>
        <n v="948285.36"/>
        <n v="713889.45"/>
        <n v="1130145.51"/>
        <n v="996995.99999999988"/>
        <n v="584849.30000000005"/>
        <n v="552049.27999999991"/>
        <n v="340159.5"/>
        <n v="1291583.07"/>
        <n v="1542753.24"/>
        <n v="1485943.68"/>
        <n v="982125.09"/>
        <n v="782538.12"/>
        <n v="1457076"/>
        <n v="912632.11"/>
        <n v="989636.4"/>
        <n v="1626568.4100000001"/>
        <n v="800251.65"/>
        <n v="506950.29000000004"/>
        <n v="1188794.8800000001"/>
        <n v="1566826.4"/>
        <n v="1159252.04"/>
        <n v="1483266.2499999998"/>
        <n v="1626954.8"/>
        <n v="1443467.76"/>
        <n v="1034763.08"/>
        <n v="1158500.7"/>
        <n v="597198.15"/>
        <n v="756163.04"/>
        <n v="850551.6"/>
        <n v="981832.9800000001"/>
        <n v="1301340"/>
        <n v="1610886.24"/>
        <n v="675214.97"/>
        <n v="1494712.96"/>
        <n v="692744.36"/>
        <n v="1466987.97"/>
        <n v="1603727.7899999998"/>
        <n v="1159536"/>
        <n v="382574.4"/>
        <n v="1008579.85"/>
        <n v="1365364.7"/>
        <n v="1066481.23"/>
        <n v="837848.32000000007"/>
        <n v="916243.96"/>
        <n v="1916247.98"/>
        <n v="1524793.28"/>
        <n v="1420789.28"/>
        <n v="1755844.06"/>
        <n v="1543360.2999999998"/>
        <n v="1246344.5999999999"/>
        <n v="2095208.1600000001"/>
        <n v="783834.21"/>
        <n v="2034588.3800000001"/>
        <n v="548903.4"/>
        <n v="1318705.96"/>
        <n v="1690872"/>
        <n v="2118206.06"/>
        <n v="2192485.58"/>
        <n v="1476574.01"/>
        <n v="477724.89"/>
        <n v="845433.41"/>
        <n v="1427488.6199999999"/>
        <n v="465790.07999999996"/>
        <n v="1359370.15"/>
        <n v="1086408.8400000001"/>
        <n v="1052673.18"/>
        <n v="1222490.04"/>
        <n v="1410148.87"/>
        <n v="1214520"/>
        <n v="1599684.77"/>
        <n v="584364.88"/>
        <n v="1197656.6400000001"/>
        <n v="907066.8"/>
        <n v="1385831.46"/>
        <n v="1308908.8599999999"/>
        <n v="818014.5"/>
        <n v="1422872.1"/>
        <n v="1252295.76"/>
        <n v="1330820.52"/>
        <n v="1979528.4000000001"/>
        <n v="1142890.7"/>
        <n v="1771994.9000000001"/>
        <n v="1043103.36"/>
        <n v="1044679.52"/>
        <n v="573871.76"/>
        <n v="676812.80000000005"/>
        <n v="1514391.12"/>
        <n v="1723887.09"/>
        <n v="1426376.2799999998"/>
        <n v="667780.28999999992"/>
        <n v="1653793.44"/>
        <n v="1180505.0499999998"/>
        <n v="909007.8"/>
        <n v="748893.48"/>
        <n v="1959270.8599999999"/>
        <n v="2138074.56"/>
        <n v="1047217.6000000001"/>
        <n v="1389584.34"/>
        <n v="1637724.4200000002"/>
      </sharedItems>
    </cacheField>
    <cacheField name="Area_sqft" numFmtId="0">
      <sharedItems containsSemiMixedTypes="0" containsString="0" containsNumber="1" containsInteger="1" minValue="925" maxValue="3215" count="234">
        <n v="2224"/>
        <n v="2181"/>
        <n v="2195"/>
        <n v="1636"/>
        <n v="2160"/>
        <n v="2559"/>
        <n v="1273"/>
        <n v="1744"/>
        <n v="1364"/>
        <n v="2794"/>
        <n v="1650"/>
        <n v="1236"/>
        <n v="1852"/>
        <n v="2149"/>
        <n v="1471"/>
        <n v="1620"/>
        <n v="2486"/>
        <n v="2604"/>
        <n v="2058"/>
        <n v="2023"/>
        <n v="2580"/>
        <n v="2401"/>
        <n v="2082"/>
        <n v="1939"/>
        <n v="2091"/>
        <n v="2305"/>
        <n v="2723"/>
        <n v="1889"/>
        <n v="1598"/>
        <n v="1582"/>
        <n v="2124"/>
        <n v="2018"/>
        <n v="1574"/>
        <n v="2041"/>
        <n v="2014"/>
        <n v="2801"/>
        <n v="1864"/>
        <n v="1793"/>
        <n v="2352"/>
        <n v="1508"/>
        <n v="1698"/>
        <n v="2050"/>
        <n v="2152"/>
        <n v="2274"/>
        <n v="2134"/>
        <n v="2787"/>
        <n v="2003"/>
        <n v="1827"/>
        <n v="2765"/>
        <n v="1170"/>
        <n v="2463"/>
        <n v="2458"/>
        <n v="3166"/>
        <n v="2264"/>
        <n v="2390"/>
        <n v="2803"/>
        <n v="1439"/>
        <n v="1896"/>
        <n v="1869"/>
        <n v="1656"/>
        <n v="1921"/>
        <n v="1618"/>
        <n v="1121"/>
        <n v="2454"/>
        <n v="2496"/>
        <n v="2415"/>
        <n v="2540"/>
        <n v="1156"/>
        <n v="2528"/>
        <n v="2843"/>
        <n v="1963"/>
        <n v="1607"/>
        <n v="2120"/>
        <n v="2872"/>
        <n v="1772"/>
        <n v="1321"/>
        <n v="2754"/>
        <n v="2336"/>
        <n v="2147"/>
        <n v="1902"/>
        <n v="2916"/>
        <n v="2281"/>
        <n v="2201"/>
        <n v="2931"/>
        <n v="2579"/>
        <n v="1911"/>
        <n v="1485"/>
        <n v="2637"/>
        <n v="2342"/>
        <n v="1860"/>
        <n v="2403"/>
        <n v="2750"/>
        <n v="2304"/>
        <n v="1897"/>
        <n v="1012"/>
        <n v="2170"/>
        <n v="1977"/>
        <n v="2789"/>
        <n v="1877"/>
        <n v="2193"/>
        <n v="1953"/>
        <n v="3019"/>
        <n v="2649"/>
        <n v="1706"/>
        <n v="1505"/>
        <n v="2481"/>
        <n v="2549"/>
        <n v="1248"/>
        <n v="2898"/>
        <n v="2397"/>
        <n v="1331"/>
        <n v="1894"/>
        <n v="1359"/>
        <n v="1561"/>
        <n v="2520"/>
        <n v="2769"/>
        <n v="2095"/>
        <n v="2328"/>
        <n v="1630"/>
        <n v="2800"/>
        <n v="2756"/>
        <n v="1307"/>
        <n v="1908"/>
        <n v="2347"/>
        <n v="1950"/>
        <n v="1910"/>
        <n v="2569"/>
        <n v="1275"/>
        <n v="2558"/>
        <n v="1972"/>
        <n v="2109"/>
        <n v="1501"/>
        <n v="2430"/>
        <n v="2119"/>
        <n v="1583"/>
        <n v="1829"/>
        <n v="3215"/>
        <n v="1743"/>
        <n v="1859"/>
        <n v="1360"/>
        <n v="1433"/>
        <n v="1519"/>
        <n v="1674"/>
        <n v="2692"/>
        <n v="2074"/>
        <n v="2465"/>
        <n v="2684"/>
        <n v="1926"/>
        <n v="1473"/>
        <n v="1801"/>
        <n v="1925"/>
        <n v="1445"/>
        <n v="1367"/>
        <n v="925"/>
        <n v="2511"/>
        <n v="2478"/>
        <n v="2368"/>
        <n v="2151"/>
        <n v="1638"/>
        <n v="2320"/>
        <n v="1935"/>
        <n v="2277"/>
        <n v="1337"/>
        <n v="2184"/>
        <n v="2768"/>
        <n v="2173"/>
        <n v="2825"/>
        <n v="2888"/>
        <n v="2534"/>
        <n v="1949"/>
        <n v="1385"/>
        <n v="1637"/>
        <n v="1704"/>
        <n v="2309"/>
        <n v="2460"/>
        <n v="2544"/>
        <n v="1349"/>
        <n v="2392"/>
        <n v="1397"/>
        <n v="2499"/>
        <n v="2919"/>
        <n v="2100"/>
        <n v="1805"/>
        <n v="2045"/>
        <n v="2159"/>
        <n v="1786"/>
        <n v="1658"/>
        <n v="2762"/>
        <n v="2608"/>
        <n v="2659"/>
        <n v="2455"/>
        <n v="2589"/>
        <n v="3039"/>
        <n v="1907"/>
        <n v="3074"/>
        <n v="1570"/>
        <n v="2132"/>
        <n v="2820"/>
        <n v="2818"/>
        <n v="3098"/>
        <n v="2369"/>
        <n v="1077"/>
        <n v="1693"/>
        <n v="2606"/>
        <n v="1176"/>
        <n v="2635"/>
        <n v="2332"/>
        <n v="1742"/>
        <n v="2382"/>
        <n v="2743"/>
        <n v="2094"/>
        <n v="2557"/>
        <n v="2036"/>
        <n v="1773"/>
        <n v="2314"/>
        <n v="2506"/>
        <n v="1734"/>
        <n v="2418"/>
        <n v="2006"/>
        <n v="2610"/>
        <n v="2254"/>
        <n v="2782"/>
        <n v="2054"/>
        <n v="1652"/>
        <n v="1280"/>
        <n v="2376"/>
        <n v="2391"/>
        <n v="2438"/>
        <n v="2886"/>
        <n v="2105"/>
        <n v="1605"/>
        <n v="3116"/>
        <n v="2080"/>
        <n v="2529"/>
      </sharedItems>
    </cacheField>
    <cacheField name="Price_per_sqft" numFmtId="0">
      <sharedItems containsSemiMixedTypes="0" containsString="0" containsNumber="1" minValue="292.07" maxValue="770.6"/>
    </cacheField>
    <cacheField name="Column1" numFmtId="0">
      <sharedItems containsSemiMixedTypes="0" containsString="0" containsNumber="1" containsInteger="1" minValue="2018" maxValue="2024" count="7">
        <n v="2024"/>
        <n v="2022"/>
        <n v="2019"/>
        <n v="2018"/>
        <n v="2023"/>
        <n v="2020"/>
        <n v="2021"/>
      </sharedItems>
    </cacheField>
    <cacheField name="Sale_Date" numFmtId="14">
      <sharedItems containsSemiMixedTypes="0" containsNonDate="0" containsDate="1" containsString="0" minDate="2018-01-15T00:00:00" maxDate="2024-11-09T00:00:00" count="235">
        <d v="2024-02-12T00:00:00"/>
        <d v="2022-09-15T00:00:00"/>
        <d v="2019-02-23T00:00:00"/>
        <d v="2024-03-11T00:00:00"/>
        <d v="2019-02-18T00:00:00"/>
        <d v="2019-11-01T00:00:00"/>
        <d v="2018-09-29T00:00:00"/>
        <d v="2024-01-17T00:00:00"/>
        <d v="2019-09-19T00:00:00"/>
        <d v="2024-01-09T00:00:00"/>
        <d v="2023-09-11T00:00:00"/>
        <d v="2020-09-07T00:00:00"/>
        <d v="2020-12-21T00:00:00"/>
        <d v="2019-05-11T00:00:00"/>
        <d v="2021-09-15T00:00:00"/>
        <d v="2020-02-19T00:00:00"/>
        <d v="2020-10-15T00:00:00"/>
        <d v="2018-03-02T00:00:00"/>
        <d v="2023-02-07T00:00:00"/>
        <d v="2024-01-30T00:00:00"/>
        <d v="2024-09-03T00:00:00"/>
        <d v="2024-05-04T00:00:00"/>
        <d v="2018-02-08T00:00:00"/>
        <d v="2022-02-22T00:00:00"/>
        <d v="2020-12-19T00:00:00"/>
        <d v="2019-01-14T00:00:00"/>
        <d v="2019-04-04T00:00:00"/>
        <d v="2022-02-02T00:00:00"/>
        <d v="2019-12-27T00:00:00"/>
        <d v="2020-06-30T00:00:00"/>
        <d v="2021-12-09T00:00:00"/>
        <d v="2021-11-16T00:00:00"/>
        <d v="2020-03-18T00:00:00"/>
        <d v="2021-04-26T00:00:00"/>
        <d v="2021-05-29T00:00:00"/>
        <d v="2018-12-14T00:00:00"/>
        <d v="2024-11-08T00:00:00"/>
        <d v="2019-03-13T00:00:00"/>
        <d v="2024-04-08T00:00:00"/>
        <d v="2020-11-27T00:00:00"/>
        <d v="2021-10-07T00:00:00"/>
        <d v="2022-08-31T00:00:00"/>
        <d v="2022-05-17T00:00:00"/>
        <d v="2019-11-08T00:00:00"/>
        <d v="2018-07-25T00:00:00"/>
        <d v="2021-12-04T00:00:00"/>
        <d v="2024-04-29T00:00:00"/>
        <d v="2024-06-16T00:00:00"/>
        <d v="2018-06-18T00:00:00"/>
        <d v="2021-08-13T00:00:00"/>
        <d v="2020-01-15T00:00:00"/>
        <d v="2022-07-23T00:00:00"/>
        <d v="2021-06-08T00:00:00"/>
        <d v="2020-02-28T00:00:00"/>
        <d v="2021-03-05T00:00:00"/>
        <d v="2019-06-02T00:00:00"/>
        <d v="2018-09-25T00:00:00"/>
        <d v="2024-10-19T00:00:00"/>
        <d v="2019-02-11T00:00:00"/>
        <d v="2023-04-09T00:00:00"/>
        <d v="2019-09-03T00:00:00"/>
        <d v="2021-01-20T00:00:00"/>
        <d v="2024-08-01T00:00:00"/>
        <d v="2022-11-21T00:00:00"/>
        <d v="2024-03-03T00:00:00"/>
        <d v="2022-01-21T00:00:00"/>
        <d v="2018-04-29T00:00:00"/>
        <d v="2023-08-04T00:00:00"/>
        <d v="2019-07-14T00:00:00"/>
        <d v="2019-09-01T00:00:00"/>
        <d v="2018-06-28T00:00:00"/>
        <d v="2019-02-16T00:00:00"/>
        <d v="2018-11-25T00:00:00"/>
        <d v="2020-07-20T00:00:00"/>
        <d v="2022-01-08T00:00:00"/>
        <d v="2023-08-01T00:00:00"/>
        <d v="2024-08-03T00:00:00"/>
        <d v="2021-12-14T00:00:00"/>
        <d v="2022-02-03T00:00:00"/>
        <d v="2020-11-18T00:00:00"/>
        <d v="2022-02-07T00:00:00"/>
        <d v="2018-04-13T00:00:00"/>
        <d v="2021-05-31T00:00:00"/>
        <d v="2019-02-10T00:00:00"/>
        <d v="2024-02-09T00:00:00"/>
        <d v="2024-05-01T00:00:00"/>
        <d v="2019-06-17T00:00:00"/>
        <d v="2018-08-03T00:00:00"/>
        <d v="2023-11-06T00:00:00"/>
        <d v="2018-11-27T00:00:00"/>
        <d v="2024-10-15T00:00:00"/>
        <d v="2023-02-01T00:00:00"/>
        <d v="2022-11-04T00:00:00"/>
        <d v="2018-07-30T00:00:00"/>
        <d v="2021-02-15T00:00:00"/>
        <d v="2021-10-28T00:00:00"/>
        <d v="2021-01-19T00:00:00"/>
        <d v="2023-06-17T00:00:00"/>
        <d v="2021-03-31T00:00:00"/>
        <d v="2018-10-23T00:00:00"/>
        <d v="2023-11-17T00:00:00"/>
        <d v="2023-01-13T00:00:00"/>
        <d v="2024-08-19T00:00:00"/>
        <d v="2023-03-11T00:00:00"/>
        <d v="2023-01-20T00:00:00"/>
        <d v="2024-11-02T00:00:00"/>
        <d v="2019-06-13T00:00:00"/>
        <d v="2022-01-22T00:00:00"/>
        <d v="2022-11-28T00:00:00"/>
        <d v="2020-03-05T00:00:00"/>
        <d v="2024-10-12T00:00:00"/>
        <d v="2023-01-15T00:00:00"/>
        <d v="2020-08-23T00:00:00"/>
        <d v="2019-07-23T00:00:00"/>
        <d v="2020-08-31T00:00:00"/>
        <d v="2024-06-13T00:00:00"/>
        <d v="2023-11-25T00:00:00"/>
        <d v="2018-10-04T00:00:00"/>
        <d v="2023-03-19T00:00:00"/>
        <d v="2022-11-25T00:00:00"/>
        <d v="2018-11-20T00:00:00"/>
        <d v="2019-11-14T00:00:00"/>
        <d v="2023-10-03T00:00:00"/>
        <d v="2024-10-14T00:00:00"/>
        <d v="2019-04-10T00:00:00"/>
        <d v="2020-03-30T00:00:00"/>
        <d v="2019-10-08T00:00:00"/>
        <d v="2023-03-30T00:00:00"/>
        <d v="2021-07-22T00:00:00"/>
        <d v="2019-05-24T00:00:00"/>
        <d v="2021-01-29T00:00:00"/>
        <d v="2023-08-02T00:00:00"/>
        <d v="2023-03-18T00:00:00"/>
        <d v="2020-09-17T00:00:00"/>
        <d v="2021-09-03T00:00:00"/>
        <d v="2023-02-16T00:00:00"/>
        <d v="2024-03-02T00:00:00"/>
        <d v="2020-03-26T00:00:00"/>
        <d v="2019-07-27T00:00:00"/>
        <d v="2024-04-24T00:00:00"/>
        <d v="2024-06-23T00:00:00"/>
        <d v="2020-02-21T00:00:00"/>
        <d v="2024-04-16T00:00:00"/>
        <d v="2024-11-03T00:00:00"/>
        <d v="2021-03-24T00:00:00"/>
        <d v="2021-11-19T00:00:00"/>
        <d v="2020-09-20T00:00:00"/>
        <d v="2024-03-04T00:00:00"/>
        <d v="2024-06-09T00:00:00"/>
        <d v="2018-06-03T00:00:00"/>
        <d v="2023-04-02T00:00:00"/>
        <d v="2019-12-20T00:00:00"/>
        <d v="2020-10-13T00:00:00"/>
        <d v="2018-09-12T00:00:00"/>
        <d v="2023-05-13T00:00:00"/>
        <d v="2023-11-23T00:00:00"/>
        <d v="2023-11-02T00:00:00"/>
        <d v="2018-08-25T00:00:00"/>
        <d v="2024-01-26T00:00:00"/>
        <d v="2023-01-12T00:00:00"/>
        <d v="2018-01-15T00:00:00"/>
        <d v="2019-04-08T00:00:00"/>
        <d v="2020-09-29T00:00:00"/>
        <d v="2020-08-28T00:00:00"/>
        <d v="2022-10-16T00:00:00"/>
        <d v="2024-01-13T00:00:00"/>
        <d v="2019-07-04T00:00:00"/>
        <d v="2024-10-05T00:00:00"/>
        <d v="2018-03-04T00:00:00"/>
        <d v="2022-04-09T00:00:00"/>
        <d v="2022-08-23T00:00:00"/>
        <d v="2022-04-05T00:00:00"/>
        <d v="2019-11-25T00:00:00"/>
        <d v="2018-01-27T00:00:00"/>
        <d v="2023-06-22T00:00:00"/>
        <d v="2020-01-05T00:00:00"/>
        <d v="2024-05-03T00:00:00"/>
        <d v="2023-05-02T00:00:00"/>
        <d v="2022-06-20T00:00:00"/>
        <d v="2023-08-14T00:00:00"/>
        <d v="2023-07-03T00:00:00"/>
        <d v="2018-12-03T00:00:00"/>
        <d v="2022-01-14T00:00:00"/>
        <d v="2024-09-11T00:00:00"/>
        <d v="2019-11-26T00:00:00"/>
        <d v="2020-10-07T00:00:00"/>
        <d v="2021-10-03T00:00:00"/>
        <d v="2021-04-08T00:00:00"/>
        <d v="2020-10-31T00:00:00"/>
        <d v="2024-02-05T00:00:00"/>
        <d v="2024-04-25T00:00:00"/>
        <d v="2024-06-14T00:00:00"/>
        <d v="2018-12-18T00:00:00"/>
        <d v="2021-07-30T00:00:00"/>
        <d v="2024-04-12T00:00:00"/>
        <d v="2022-10-26T00:00:00"/>
        <d v="2023-02-18T00:00:00"/>
        <d v="2023-02-19T00:00:00"/>
        <d v="2022-03-10T00:00:00"/>
        <d v="2019-07-29T00:00:00"/>
        <d v="2022-08-03T00:00:00"/>
        <d v="2019-11-20T00:00:00"/>
        <d v="2018-06-20T00:00:00"/>
        <d v="2022-12-04T00:00:00"/>
        <d v="2020-04-27T00:00:00"/>
        <d v="2019-07-10T00:00:00"/>
        <d v="2023-06-28T00:00:00"/>
        <d v="2023-02-06T00:00:00"/>
        <d v="2023-07-20T00:00:00"/>
        <d v="2018-03-08T00:00:00"/>
        <d v="2018-12-04T00:00:00"/>
        <d v="2019-06-28T00:00:00"/>
        <d v="2019-02-24T00:00:00"/>
        <d v="2022-12-08T00:00:00"/>
        <d v="2022-04-22T00:00:00"/>
        <d v="2018-04-20T00:00:00"/>
        <d v="2018-10-18T00:00:00"/>
        <d v="2018-10-26T00:00:00"/>
        <d v="2021-06-24T00:00:00"/>
        <d v="2019-05-05T00:00:00"/>
        <d v="2019-04-29T00:00:00"/>
        <d v="2024-05-10T00:00:00"/>
        <d v="2020-09-28T00:00:00"/>
        <d v="2021-01-16T00:00:00"/>
        <d v="2021-06-26T00:00:00"/>
        <d v="2024-02-17T00:00:00"/>
        <d v="2019-03-02T00:00:00"/>
        <d v="2022-03-06T00:00:00"/>
        <d v="2020-08-27T00:00:00"/>
        <d v="2019-07-12T00:00:00"/>
        <d v="2019-05-07T00:00:00"/>
        <d v="2022-06-12T00:00:00"/>
        <d v="2018-03-31T00:00:00"/>
        <d v="2022-11-10T00:00:00"/>
        <d v="2018-03-21T00:00:00"/>
      </sharedItems>
    </cacheField>
    <cacheField name="Property_Type" numFmtId="0">
      <sharedItems/>
    </cacheField>
    <cacheField name="Condition" numFmtId="0">
      <sharedItems count="4">
        <s v="Good"/>
        <s v="Fair"/>
        <s v="Excellent"/>
        <s v="Needs Renovation"/>
      </sharedItems>
    </cacheField>
    <cacheField name="Seller_Notes" numFmtId="0">
      <sharedItems/>
    </cacheField>
    <cacheField name="Days_on_Market" numFmtId="0">
      <sharedItems containsSemiMixedTypes="0" containsString="0" containsNumber="1" containsInteger="1" minValue="0" maxValue="150"/>
    </cacheField>
    <cacheField name="Custom" numFmtId="0">
      <sharedItems containsMixedTypes="1" containsNumber="1" minValue="340159.5" maxValue="1158500.7"/>
    </cacheField>
    <cacheField name="Longitude" numFmtId="0">
      <sharedItems containsSemiMixedTypes="0" containsString="0" containsNumber="1" minValue="-122.77800000000001" maxValue="-70.971999999999994"/>
    </cacheField>
    <cacheField name="Latitude" numFmtId="0">
      <sharedItems containsSemiMixedTypes="0" containsString="0" containsNumber="1" minValue="25.66" maxValue="47.694000000000003"/>
    </cacheField>
  </cacheFields>
  <extLst>
    <ext xmlns:x14="http://schemas.microsoft.com/office/spreadsheetml/2009/9/main" uri="{725AE2AE-9491-48be-B2B4-4EB974FC3084}">
      <x14:pivotCacheDefinition pivotCacheId="318469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L1000"/>
    <x v="0"/>
    <s v="Mission"/>
    <n v="617"/>
    <s v="Pine St"/>
    <x v="0"/>
    <n v="3"/>
    <n v="1917"/>
    <x v="0"/>
    <x v="0"/>
    <n v="458.03"/>
    <x v="0"/>
    <x v="0"/>
    <s v="Condo"/>
    <x v="0"/>
    <s v="Needs Roof Repair"/>
    <n v="54"/>
    <n v="1018658.72"/>
    <n v="-122.411"/>
    <n v="37.676000000000002"/>
  </r>
  <r>
    <s v="L1001"/>
    <x v="1"/>
    <s v="Queen Anne"/>
    <n v="814"/>
    <s v="Maple Rd"/>
    <x v="1"/>
    <n v="1"/>
    <n v="1989"/>
    <x v="1"/>
    <x v="1"/>
    <n v="398.2"/>
    <x v="1"/>
    <x v="1"/>
    <s v="Single Family"/>
    <x v="0"/>
    <s v="Needs Roof Repair"/>
    <n v="27"/>
    <n v="868474.2"/>
    <n v="-122.256"/>
    <n v="47.555999999999997"/>
  </r>
  <r>
    <s v="L1002"/>
    <x v="2"/>
    <s v="Highlands"/>
    <n v="926"/>
    <s v="Main St"/>
    <x v="1"/>
    <n v="2"/>
    <n v="1997"/>
    <x v="2"/>
    <x v="2"/>
    <n v="531.94000000000005"/>
    <x v="2"/>
    <x v="2"/>
    <s v="Condo"/>
    <x v="0"/>
    <s v="Recently Renovated Kitchen"/>
    <n v="20"/>
    <s v="OUTLIER"/>
    <n v="-105.021"/>
    <n v="39.712000000000003"/>
  </r>
  <r>
    <s v="L1003"/>
    <x v="3"/>
    <s v="Astoria"/>
    <n v="296"/>
    <s v="Main St"/>
    <x v="2"/>
    <n v="1"/>
    <n v="1948"/>
    <x v="3"/>
    <x v="3"/>
    <n v="461.93"/>
    <x v="0"/>
    <x v="3"/>
    <s v="Townhouse"/>
    <x v="1"/>
    <s v="Vacant"/>
    <n v="21"/>
    <n v="755717.48"/>
    <n v="-73.938000000000002"/>
    <n v="40.734000000000002"/>
  </r>
  <r>
    <s v="L1004"/>
    <x v="1"/>
    <s v="Ballard"/>
    <n v="463"/>
    <s v="Oak Ave"/>
    <x v="0"/>
    <n v="3"/>
    <n v="2009"/>
    <x v="4"/>
    <x v="4"/>
    <n v="370.8"/>
    <x v="2"/>
    <x v="4"/>
    <s v="Multi-Family"/>
    <x v="0"/>
    <s v="Recently Renovated Kitchen"/>
    <n v="16"/>
    <n v="800928"/>
    <n v="-122.357"/>
    <n v="47.627000000000002"/>
  </r>
  <r>
    <s v="L1005"/>
    <x v="4"/>
    <s v="Back Bay"/>
    <n v="324"/>
    <s v="1St Ave"/>
    <x v="3"/>
    <n v="4"/>
    <n v="1968"/>
    <x v="5"/>
    <x v="5"/>
    <n v="587.45000000000005"/>
    <x v="2"/>
    <x v="5"/>
    <s v="Multi-Family"/>
    <x v="0"/>
    <s v="Vacant"/>
    <n v="44"/>
    <s v="OUTLIER"/>
    <n v="-71.031999999999996"/>
    <n v="42.457999999999998"/>
  </r>
  <r>
    <s v="L1006"/>
    <x v="1"/>
    <s v="Ballard"/>
    <n v="771"/>
    <s v="Maple Rd"/>
    <x v="2"/>
    <n v="1"/>
    <n v="1951"/>
    <x v="6"/>
    <x v="6"/>
    <n v="292.07"/>
    <x v="3"/>
    <x v="6"/>
    <s v="Single Family"/>
    <x v="1"/>
    <s v="Needs Roof Repair"/>
    <n v="78"/>
    <n v="371805.11"/>
    <n v="-122.286"/>
    <n v="47.613"/>
  </r>
  <r>
    <s v="L1007"/>
    <x v="5"/>
    <s v="Coral Gables"/>
    <n v="324"/>
    <s v="Oak Ave"/>
    <x v="1"/>
    <n v="2"/>
    <n v="1931"/>
    <x v="7"/>
    <x v="7"/>
    <n v="532.63"/>
    <x v="0"/>
    <x v="7"/>
    <s v="Townhouse"/>
    <x v="1"/>
    <s v="Recently Renovated Kitchen"/>
    <n v="7"/>
    <n v="928906.72"/>
    <n v="-80.173000000000002"/>
    <n v="25.745999999999999"/>
  </r>
  <r>
    <s v="L1008"/>
    <x v="6"/>
    <s v="Richmond"/>
    <n v="710"/>
    <s v="Maple Rd"/>
    <x v="2"/>
    <n v="1"/>
    <n v="2010"/>
    <x v="8"/>
    <x v="8"/>
    <n v="504.6"/>
    <x v="2"/>
    <x v="8"/>
    <s v="Single Family"/>
    <x v="1"/>
    <s v="Tenant-Occupied"/>
    <n v="0"/>
    <n v="688274.4"/>
    <n v="-122.767"/>
    <n v="45.503999999999998"/>
  </r>
  <r>
    <s v="L1009"/>
    <x v="6"/>
    <s v="Nob Hill"/>
    <n v="564"/>
    <s v="Main St"/>
    <x v="3"/>
    <n v="4"/>
    <n v="1901"/>
    <x v="9"/>
    <x v="9"/>
    <n v="681.53"/>
    <x v="0"/>
    <x v="9"/>
    <s v="Townhouse"/>
    <x v="1"/>
    <s v="Needs Roof Repair"/>
    <n v="26"/>
    <s v="OUTLIER"/>
    <n v="-122.721"/>
    <n v="45.488"/>
  </r>
  <r>
    <s v="L1010"/>
    <x v="4"/>
    <s v="Allston"/>
    <n v="100"/>
    <s v="Pine St"/>
    <x v="1"/>
    <n v="2"/>
    <n v="1913"/>
    <x v="10"/>
    <x v="10"/>
    <n v="553.73"/>
    <x v="4"/>
    <x v="10"/>
    <s v="Loft"/>
    <x v="2"/>
    <s v="Vacant"/>
    <n v="34"/>
    <n v="913654.5"/>
    <n v="-71.128"/>
    <n v="42.335000000000001"/>
  </r>
  <r>
    <s v="L1011"/>
    <x v="2"/>
    <s v="Cherry Creek"/>
    <n v="597"/>
    <s v="Main St"/>
    <x v="2"/>
    <n v="1"/>
    <n v="1946"/>
    <x v="11"/>
    <x v="11"/>
    <n v="483.12"/>
    <x v="5"/>
    <x v="11"/>
    <s v="Condo"/>
    <x v="2"/>
    <s v="New Hvac"/>
    <n v="1"/>
    <n v="597136.31999999995"/>
    <n v="-105.074"/>
    <n v="39.753"/>
  </r>
  <r>
    <s v="L1012"/>
    <x v="6"/>
    <s v="Hawthorne"/>
    <n v="873"/>
    <s v="Oak Ave"/>
    <x v="1"/>
    <n v="1"/>
    <n v="1970"/>
    <x v="12"/>
    <x v="12"/>
    <n v="477.04"/>
    <x v="5"/>
    <x v="12"/>
    <s v="Loft"/>
    <x v="1"/>
    <s v="Vacant"/>
    <n v="4"/>
    <n v="883478.08000000007"/>
    <n v="-122.738"/>
    <n v="45.505000000000003"/>
  </r>
  <r>
    <s v="L1013"/>
    <x v="4"/>
    <s v="Beacon Hill"/>
    <n v="702"/>
    <s v="Oak Ave"/>
    <x v="0"/>
    <n v="3"/>
    <n v="1966"/>
    <x v="13"/>
    <x v="13"/>
    <n v="564.46"/>
    <x v="2"/>
    <x v="13"/>
    <s v="Single Family"/>
    <x v="2"/>
    <s v="Needs Roof Repair"/>
    <n v="40"/>
    <s v="OUTLIER"/>
    <n v="-71.042000000000002"/>
    <n v="42.328000000000003"/>
  </r>
  <r>
    <s v="L1014"/>
    <x v="1"/>
    <s v="Capitol Hill"/>
    <n v="235"/>
    <s v="Pine St"/>
    <x v="2"/>
    <n v="1"/>
    <n v="2015"/>
    <x v="14"/>
    <x v="14"/>
    <n v="325.8"/>
    <x v="6"/>
    <x v="14"/>
    <s v="Condo"/>
    <x v="0"/>
    <s v="Vacant"/>
    <n v="9"/>
    <n v="479251.8"/>
    <n v="-122.333"/>
    <n v="47.555999999999997"/>
  </r>
  <r>
    <s v="L1015"/>
    <x v="7"/>
    <s v="Beverly Hills"/>
    <n v="984"/>
    <s v="Main St"/>
    <x v="1"/>
    <n v="1"/>
    <n v="2003"/>
    <x v="15"/>
    <x v="15"/>
    <n v="566.12"/>
    <x v="5"/>
    <x v="15"/>
    <s v="Condo"/>
    <x v="2"/>
    <s v="Tenant-Occupied"/>
    <n v="66"/>
    <n v="917114.4"/>
    <n v="-118.255"/>
    <n v="34.036000000000001"/>
  </r>
  <r>
    <s v="L1016"/>
    <x v="0"/>
    <s v="Mission"/>
    <n v="573"/>
    <s v="Oak Ave"/>
    <x v="4"/>
    <n v="3"/>
    <n v="2002"/>
    <x v="16"/>
    <x v="16"/>
    <n v="443.84"/>
    <x v="5"/>
    <x v="16"/>
    <s v="Single Family"/>
    <x v="2"/>
    <s v="Recently Renovated Kitchen"/>
    <n v="44"/>
    <n v="1103386.24"/>
    <n v="-122.346"/>
    <n v="37.76"/>
  </r>
  <r>
    <s v="L1017"/>
    <x v="0"/>
    <s v="Soma"/>
    <n v="592"/>
    <s v="Oak Ave"/>
    <x v="3"/>
    <n v="5"/>
    <n v="1983"/>
    <x v="17"/>
    <x v="17"/>
    <n v="548.91999999999996"/>
    <x v="3"/>
    <x v="17"/>
    <s v="Condo"/>
    <x v="1"/>
    <s v="Tenant-Occupied"/>
    <n v="53"/>
    <s v="OUTLIER"/>
    <n v="-122.39700000000001"/>
    <n v="37.840000000000003"/>
  </r>
  <r>
    <s v="L1018"/>
    <x v="5"/>
    <s v="Wynwood"/>
    <n v="777"/>
    <s v="Maple Rd"/>
    <x v="1"/>
    <n v="2"/>
    <n v="1949"/>
    <x v="18"/>
    <x v="18"/>
    <n v="555.73"/>
    <x v="4"/>
    <x v="18"/>
    <s v="Townhouse"/>
    <x v="0"/>
    <s v="Vacant"/>
    <n v="9"/>
    <n v="1143692.3400000001"/>
    <n v="-80.090999999999994"/>
    <n v="25.850999999999999"/>
  </r>
  <r>
    <s v="L1019"/>
    <x v="8"/>
    <s v="South Congress"/>
    <n v="973"/>
    <s v="Pine St"/>
    <x v="0"/>
    <n v="3"/>
    <n v="1907"/>
    <x v="19"/>
    <x v="19"/>
    <n v="511.88"/>
    <x v="0"/>
    <x v="19"/>
    <s v="Condo"/>
    <x v="1"/>
    <s v="Vacant"/>
    <n v="64"/>
    <n v="1035533.24"/>
    <n v="-97.722999999999999"/>
    <n v="30.181000000000001"/>
  </r>
  <r>
    <s v="L1020"/>
    <x v="8"/>
    <s v="Downtown"/>
    <n v="352"/>
    <s v="Pine St"/>
    <x v="3"/>
    <n v="5"/>
    <n v="1923"/>
    <x v="20"/>
    <x v="20"/>
    <n v="576.99"/>
    <x v="0"/>
    <x v="20"/>
    <s v="Condo"/>
    <x v="0"/>
    <s v="Vacant"/>
    <n v="1"/>
    <s v="OUTLIER"/>
    <n v="-97.816000000000003"/>
    <n v="30.216999999999999"/>
  </r>
  <r>
    <s v="L1021"/>
    <x v="7"/>
    <s v="Hollywood"/>
    <n v="344"/>
    <s v="1St Ave"/>
    <x v="3"/>
    <n v="5"/>
    <n v="1984"/>
    <x v="21"/>
    <x v="21"/>
    <n v="770.6"/>
    <x v="0"/>
    <x v="21"/>
    <s v="Loft"/>
    <x v="0"/>
    <s v="Recently Renovated Kitchen"/>
    <n v="75"/>
    <s v="OUTLIER"/>
    <n v="-118.206"/>
    <n v="34.002000000000002"/>
  </r>
  <r>
    <s v="L1022"/>
    <x v="5"/>
    <s v="South Beach"/>
    <n v="318"/>
    <s v="Pine St"/>
    <x v="0"/>
    <n v="3"/>
    <n v="2018"/>
    <x v="22"/>
    <x v="22"/>
    <n v="602.67999999999995"/>
    <x v="3"/>
    <x v="22"/>
    <s v="Multi-Family"/>
    <x v="0"/>
    <s v="Vacant"/>
    <n v="45"/>
    <s v="OUTLIER"/>
    <n v="-80.27"/>
    <n v="25.773"/>
  </r>
  <r>
    <s v="L1023"/>
    <x v="4"/>
    <s v="South End"/>
    <n v="926"/>
    <s v="Pine St"/>
    <x v="0"/>
    <n v="2"/>
    <n v="2012"/>
    <x v="23"/>
    <x v="23"/>
    <n v="541.94000000000005"/>
    <x v="1"/>
    <x v="23"/>
    <s v="Townhouse"/>
    <x v="2"/>
    <s v="Vacant"/>
    <n v="81"/>
    <n v="1050821.6600000001"/>
    <n v="-71.019000000000005"/>
    <n v="42.427"/>
  </r>
  <r>
    <s v="L1024"/>
    <x v="1"/>
    <s v="Queen Anne"/>
    <n v="719"/>
    <s v="Oak Ave"/>
    <x v="0"/>
    <n v="2"/>
    <n v="1913"/>
    <x v="24"/>
    <x v="24"/>
    <n v="507.64"/>
    <x v="5"/>
    <x v="24"/>
    <s v="Condo"/>
    <x v="1"/>
    <s v="Recently Renovated Kitchen"/>
    <n v="43"/>
    <n v="1061475.24"/>
    <n v="-122.399"/>
    <n v="47.648000000000003"/>
  </r>
  <r>
    <s v="L1025"/>
    <x v="2"/>
    <s v="Capitol Hill"/>
    <n v="752"/>
    <s v="1St Ave"/>
    <x v="0"/>
    <n v="3"/>
    <n v="1932"/>
    <x v="25"/>
    <x v="25"/>
    <n v="545.77"/>
    <x v="2"/>
    <x v="25"/>
    <s v="Multi-Family"/>
    <x v="1"/>
    <s v="Needs Roof Repair"/>
    <n v="26"/>
    <s v="OUTLIER"/>
    <n v="-105.023"/>
    <n v="39.649000000000001"/>
  </r>
  <r>
    <s v="L1026"/>
    <x v="8"/>
    <s v="Hyde Park"/>
    <n v="954"/>
    <s v="1St Ave"/>
    <x v="3"/>
    <n v="4"/>
    <n v="1971"/>
    <x v="26"/>
    <x v="26"/>
    <n v="502.89"/>
    <x v="2"/>
    <x v="26"/>
    <s v="Condo"/>
    <x v="1"/>
    <s v="Unkown "/>
    <n v="28"/>
    <s v="OUTLIER"/>
    <n v="-97.81"/>
    <n v="30.308"/>
  </r>
  <r>
    <s v="L1027"/>
    <x v="7"/>
    <s v="Downtown"/>
    <n v="462"/>
    <s v="Pine St"/>
    <x v="1"/>
    <n v="2"/>
    <n v="1905"/>
    <x v="27"/>
    <x v="27"/>
    <n v="639.11"/>
    <x v="1"/>
    <x v="27"/>
    <s v="Condo"/>
    <x v="1"/>
    <s v="Unkown "/>
    <n v="19"/>
    <s v="OUTLIER"/>
    <n v="-118.29"/>
    <n v="33.991999999999997"/>
  </r>
  <r>
    <s v="L1028"/>
    <x v="5"/>
    <s v="Little Havana"/>
    <n v="921"/>
    <s v="Oak Ave"/>
    <x v="1"/>
    <n v="1"/>
    <n v="1930"/>
    <x v="28"/>
    <x v="28"/>
    <n v="494.15"/>
    <x v="2"/>
    <x v="28"/>
    <s v="Multi-Family"/>
    <x v="2"/>
    <s v="Tenant-Occupied"/>
    <n v="62"/>
    <n v="789651.7"/>
    <n v="-80.224000000000004"/>
    <n v="25.806999999999999"/>
  </r>
  <r>
    <s v="L1029"/>
    <x v="4"/>
    <s v="South End"/>
    <n v="328"/>
    <s v="Main St"/>
    <x v="2"/>
    <n v="1"/>
    <n v="1904"/>
    <x v="29"/>
    <x v="29"/>
    <n v="415.86"/>
    <x v="5"/>
    <x v="29"/>
    <s v="Single Family"/>
    <x v="1"/>
    <s v="Needs Roof Repair"/>
    <n v="50"/>
    <n v="657890.52"/>
    <n v="-71.099000000000004"/>
    <n v="42.351999999999997"/>
  </r>
  <r>
    <s v="L1030"/>
    <x v="9"/>
    <s v="Gold Coast"/>
    <n v="218"/>
    <s v="1St Ave"/>
    <x v="0"/>
    <n v="3"/>
    <n v="1908"/>
    <x v="30"/>
    <x v="30"/>
    <n v="548.20000000000005"/>
    <x v="6"/>
    <x v="30"/>
    <s v="Loft"/>
    <x v="0"/>
    <s v="Unkown "/>
    <n v="13"/>
    <s v="OUTLIER"/>
    <n v="-87.613"/>
    <n v="41.975999999999999"/>
  </r>
  <r>
    <s v="L1031"/>
    <x v="8"/>
    <s v="Hyde Park"/>
    <n v="294"/>
    <s v="1St Ave"/>
    <x v="0"/>
    <n v="3"/>
    <n v="1976"/>
    <x v="31"/>
    <x v="31"/>
    <n v="478.2"/>
    <x v="6"/>
    <x v="31"/>
    <s v="Townhouse"/>
    <x v="0"/>
    <s v="Vacant"/>
    <n v="8"/>
    <n v="965007.6"/>
    <n v="-97.816999999999993"/>
    <n v="30.367000000000001"/>
  </r>
  <r>
    <s v="L1032"/>
    <x v="1"/>
    <s v="Fremont"/>
    <n v="421"/>
    <s v="Main St"/>
    <x v="2"/>
    <n v="1"/>
    <n v="2003"/>
    <x v="32"/>
    <x v="32"/>
    <n v="369.71"/>
    <x v="5"/>
    <x v="32"/>
    <s v="Townhouse"/>
    <x v="0"/>
    <s v="Vacant"/>
    <n v="35"/>
    <n v="581923.53999999992"/>
    <n v="-122.246"/>
    <n v="47.69"/>
  </r>
  <r>
    <s v="L1033"/>
    <x v="4"/>
    <s v="Allston"/>
    <n v="866"/>
    <s v="Oak Ave"/>
    <x v="0"/>
    <n v="2"/>
    <n v="1941"/>
    <x v="33"/>
    <x v="33"/>
    <n v="476.12"/>
    <x v="6"/>
    <x v="33"/>
    <s v="Loft"/>
    <x v="2"/>
    <s v="New Hvac"/>
    <n v="22"/>
    <n v="971760.92"/>
    <n v="-70.971999999999994"/>
    <n v="42.344000000000001"/>
  </r>
  <r>
    <s v="L1034"/>
    <x v="7"/>
    <s v="Downtown"/>
    <n v="576"/>
    <s v="Maple Rd"/>
    <x v="0"/>
    <n v="3"/>
    <n v="2006"/>
    <x v="34"/>
    <x v="34"/>
    <n v="588.08000000000004"/>
    <x v="6"/>
    <x v="34"/>
    <s v="Townhouse"/>
    <x v="2"/>
    <s v="Recently Renovated Kitchen"/>
    <n v="30"/>
    <s v="OUTLIER"/>
    <n v="-118.21899999999999"/>
    <n v="34.106999999999999"/>
  </r>
  <r>
    <s v="L1035"/>
    <x v="3"/>
    <s v="Harlem"/>
    <n v="788"/>
    <s v="1St Ave"/>
    <x v="3"/>
    <n v="5"/>
    <n v="2015"/>
    <x v="35"/>
    <x v="35"/>
    <n v="761.83"/>
    <x v="3"/>
    <x v="35"/>
    <s v="Townhouse"/>
    <x v="0"/>
    <s v="Needs Roof Repair"/>
    <n v="40"/>
    <s v="OUTLIER"/>
    <n v="-74.043000000000006"/>
    <n v="40.737000000000002"/>
  </r>
  <r>
    <s v="L1036"/>
    <x v="9"/>
    <s v="Wicker Park"/>
    <n v="813"/>
    <s v="Maple Rd"/>
    <x v="1"/>
    <n v="2"/>
    <n v="1931"/>
    <x v="36"/>
    <x v="36"/>
    <n v="462.98"/>
    <x v="0"/>
    <x v="36"/>
    <s v="Condo"/>
    <x v="0"/>
    <s v="New Hvac"/>
    <n v="22"/>
    <n v="862994.72000000009"/>
    <n v="-87.605000000000004"/>
    <n v="41.957000000000001"/>
  </r>
  <r>
    <s v="L1037"/>
    <x v="3"/>
    <s v="Chelsea"/>
    <n v="151"/>
    <s v="Pine St"/>
    <x v="1"/>
    <n v="2"/>
    <n v="1988"/>
    <x v="37"/>
    <x v="37"/>
    <n v="531.04999999999995"/>
    <x v="2"/>
    <x v="37"/>
    <s v="Multi-Family"/>
    <x v="2"/>
    <s v="Tenant-Occupied"/>
    <n v="108"/>
    <n v="952172.64999999991"/>
    <n v="-73.971000000000004"/>
    <n v="40.771000000000001"/>
  </r>
  <r>
    <s v="L1038"/>
    <x v="9"/>
    <s v="Lincoln Park"/>
    <n v="616"/>
    <s v="Maple Rd"/>
    <x v="4"/>
    <n v="4"/>
    <n v="1959"/>
    <x v="38"/>
    <x v="38"/>
    <n v="578.29999999999995"/>
    <x v="0"/>
    <x v="38"/>
    <s v="Loft"/>
    <x v="0"/>
    <s v="New Hvac"/>
    <n v="33"/>
    <s v="OUTLIER"/>
    <n v="-87.631"/>
    <n v="41.930999999999997"/>
  </r>
  <r>
    <s v="L1039"/>
    <x v="6"/>
    <s v="Richmond"/>
    <n v="741"/>
    <s v="Oak Ave"/>
    <x v="1"/>
    <n v="1"/>
    <n v="1960"/>
    <x v="39"/>
    <x v="39"/>
    <n v="612.29999999999995"/>
    <x v="5"/>
    <x v="39"/>
    <s v="Single Family"/>
    <x v="1"/>
    <s v="Tenant-Occupied"/>
    <n v="57"/>
    <n v="923348.39999999991"/>
    <n v="-122.624"/>
    <n v="45.475000000000001"/>
  </r>
  <r>
    <s v="L1040"/>
    <x v="4"/>
    <s v="Beacon Hill"/>
    <n v="810"/>
    <s v="Oak Ave"/>
    <x v="2"/>
    <n v="1"/>
    <n v="1930"/>
    <x v="40"/>
    <x v="40"/>
    <n v="392.71"/>
    <x v="6"/>
    <x v="40"/>
    <s v="Townhouse"/>
    <x v="1"/>
    <s v="Tenant-Occupied"/>
    <n v="77"/>
    <n v="666821.57999999996"/>
    <n v="-71.13"/>
    <n v="42.276000000000003"/>
  </r>
  <r>
    <s v="L1041"/>
    <x v="9"/>
    <s v="Lincoln Park"/>
    <n v="812"/>
    <s v="Main St"/>
    <x v="4"/>
    <n v="4"/>
    <n v="1969"/>
    <x v="41"/>
    <x v="41"/>
    <n v="588.14"/>
    <x v="1"/>
    <x v="41"/>
    <s v="Condo"/>
    <x v="2"/>
    <s v="Vacant"/>
    <n v="100"/>
    <s v="OUTLIER"/>
    <n v="-87.539000000000001"/>
    <n v="41.863999999999997"/>
  </r>
  <r>
    <s v="L1042"/>
    <x v="7"/>
    <s v="Beverly Hills"/>
    <n v="599"/>
    <s v="Oak Ave"/>
    <x v="4"/>
    <n v="4"/>
    <n v="1945"/>
    <x v="42"/>
    <x v="42"/>
    <n v="656.8"/>
    <x v="1"/>
    <x v="42"/>
    <s v="Multi-Family"/>
    <x v="0"/>
    <s v="Needs Roof Repair"/>
    <n v="37"/>
    <s v="OUTLIER"/>
    <n v="-118.18"/>
    <n v="34.097000000000001"/>
  </r>
  <r>
    <s v="L1043"/>
    <x v="4"/>
    <s v="Beacon Hill"/>
    <n v="706"/>
    <s v="Pine St"/>
    <x v="4"/>
    <n v="4"/>
    <n v="1943"/>
    <x v="43"/>
    <x v="43"/>
    <n v="520.86"/>
    <x v="2"/>
    <x v="43"/>
    <s v="Multi-Family"/>
    <x v="1"/>
    <s v="Tenant-Occupied"/>
    <n v="37"/>
    <s v="OUTLIER"/>
    <n v="-71.052999999999997"/>
    <n v="42.456000000000003"/>
  </r>
  <r>
    <s v="L1044"/>
    <x v="1"/>
    <s v="Capitol Hill"/>
    <n v="384"/>
    <s v="Maple Rd"/>
    <x v="4"/>
    <n v="4"/>
    <n v="1959"/>
    <x v="44"/>
    <x v="44"/>
    <n v="515.21"/>
    <x v="3"/>
    <x v="44"/>
    <s v="Townhouse"/>
    <x v="0"/>
    <s v="Tenant-Occupied"/>
    <n v="7"/>
    <n v="1099458.1400000001"/>
    <n v="-122.36499999999999"/>
    <n v="47.542000000000002"/>
  </r>
  <r>
    <s v="L1045"/>
    <x v="4"/>
    <s v="Back Bay"/>
    <n v="353"/>
    <s v="Oak Ave"/>
    <x v="4"/>
    <n v="4"/>
    <n v="1969"/>
    <x v="45"/>
    <x v="45"/>
    <n v="543.04999999999995"/>
    <x v="6"/>
    <x v="45"/>
    <s v="Single Family"/>
    <x v="0"/>
    <s v="Unkown "/>
    <n v="25"/>
    <s v="OUTLIER"/>
    <n v="-71.03"/>
    <n v="42.415999999999997"/>
  </r>
  <r>
    <s v="L1046"/>
    <x v="1"/>
    <s v="Queen Anne"/>
    <n v="721"/>
    <s v="Main St"/>
    <x v="1"/>
    <n v="2"/>
    <n v="1960"/>
    <x v="46"/>
    <x v="46"/>
    <n v="344.76"/>
    <x v="0"/>
    <x v="46"/>
    <s v="Single Family"/>
    <x v="0"/>
    <s v="Vacant"/>
    <n v="41"/>
    <n v="690554.28"/>
    <n v="-122.35599999999999"/>
    <n v="47.551000000000002"/>
  </r>
  <r>
    <s v="L1047"/>
    <x v="8"/>
    <s v="Zilker"/>
    <n v="950"/>
    <s v="Oak Ave"/>
    <x v="2"/>
    <n v="1"/>
    <n v="2018"/>
    <x v="47"/>
    <x v="47"/>
    <n v="326.24"/>
    <x v="0"/>
    <x v="47"/>
    <s v="Multi-Family"/>
    <x v="0"/>
    <s v="New Hvac"/>
    <n v="40"/>
    <n v="596040.48"/>
    <n v="-97.825000000000003"/>
    <n v="30.312999999999999"/>
  </r>
  <r>
    <s v="L1048"/>
    <x v="0"/>
    <s v="Richmond"/>
    <n v="449"/>
    <s v="Main St"/>
    <x v="3"/>
    <n v="4"/>
    <n v="2001"/>
    <x v="48"/>
    <x v="48"/>
    <n v="607.17999999999995"/>
    <x v="3"/>
    <x v="48"/>
    <s v="Townhouse"/>
    <x v="0"/>
    <s v="New Hvac"/>
    <n v="2"/>
    <s v="OUTLIER"/>
    <n v="-122.416"/>
    <n v="37.802"/>
  </r>
  <r>
    <s v="L1049"/>
    <x v="5"/>
    <s v="Coral Gables"/>
    <n v="927"/>
    <s v="Pine St"/>
    <x v="2"/>
    <n v="1"/>
    <n v="1946"/>
    <x v="49"/>
    <x v="49"/>
    <n v="499.66"/>
    <x v="2"/>
    <x v="8"/>
    <s v="Multi-Family"/>
    <x v="2"/>
    <s v="Vacant"/>
    <n v="43"/>
    <n v="584602.20000000007"/>
    <n v="-80.16"/>
    <n v="25.763999999999999"/>
  </r>
  <r>
    <s v="L1050"/>
    <x v="3"/>
    <s v="Chelsea"/>
    <n v="868"/>
    <s v="Maple Rd"/>
    <x v="4"/>
    <n v="3"/>
    <n v="1975"/>
    <x v="50"/>
    <x v="50"/>
    <n v="653.02"/>
    <x v="6"/>
    <x v="49"/>
    <s v="Single Family"/>
    <x v="1"/>
    <s v="Needs Roof Repair"/>
    <n v="14"/>
    <s v="OUTLIER"/>
    <n v="-73.933999999999997"/>
    <n v="40.627000000000002"/>
  </r>
  <r>
    <s v="L1051"/>
    <x v="7"/>
    <s v="Downtown"/>
    <n v="818"/>
    <s v="1St Ave"/>
    <x v="4"/>
    <n v="4"/>
    <n v="1963"/>
    <x v="51"/>
    <x v="51"/>
    <n v="692.53"/>
    <x v="5"/>
    <x v="50"/>
    <s v="Multi-Family"/>
    <x v="2"/>
    <s v="Vacant"/>
    <n v="13"/>
    <s v="OUTLIER"/>
    <n v="-118.27200000000001"/>
    <n v="34.11"/>
  </r>
  <r>
    <s v="L1052"/>
    <x v="6"/>
    <s v="Pearl District"/>
    <n v="602"/>
    <s v="Maple Rd"/>
    <x v="3"/>
    <n v="4"/>
    <n v="1910"/>
    <x v="52"/>
    <x v="52"/>
    <n v="727.68"/>
    <x v="1"/>
    <x v="51"/>
    <s v="Multi-Family"/>
    <x v="0"/>
    <s v="New Hvac"/>
    <n v="0"/>
    <s v="OUTLIER"/>
    <n v="-122.685"/>
    <n v="45.468000000000004"/>
  </r>
  <r>
    <s v="L1053"/>
    <x v="1"/>
    <s v="Capitol Hill"/>
    <n v="663"/>
    <s v="1St Ave"/>
    <x v="0"/>
    <n v="3"/>
    <n v="1988"/>
    <x v="53"/>
    <x v="53"/>
    <n v="409.21"/>
    <x v="6"/>
    <x v="52"/>
    <s v="Loft"/>
    <x v="0"/>
    <s v="New Hvac"/>
    <n v="58"/>
    <n v="926451.44"/>
    <n v="-122.361"/>
    <n v="47.610999999999997"/>
  </r>
  <r>
    <s v="L1054"/>
    <x v="2"/>
    <s v="Cherry Creek"/>
    <n v="296"/>
    <s v="Oak Ave"/>
    <x v="0"/>
    <n v="3"/>
    <n v="1929"/>
    <x v="54"/>
    <x v="54"/>
    <n v="511.94"/>
    <x v="5"/>
    <x v="53"/>
    <s v="Townhouse"/>
    <x v="2"/>
    <s v="Needs Roof Repair"/>
    <n v="63"/>
    <s v="OUTLIER"/>
    <n v="-104.938"/>
    <n v="39.747"/>
  </r>
  <r>
    <s v="L1055"/>
    <x v="3"/>
    <s v="Brooklyn Heights"/>
    <n v="114"/>
    <s v="Pine St"/>
    <x v="3"/>
    <n v="4"/>
    <n v="1967"/>
    <x v="55"/>
    <x v="55"/>
    <n v="729.82"/>
    <x v="6"/>
    <x v="54"/>
    <s v="Condo"/>
    <x v="1"/>
    <s v="Recently Renovated Kitchen"/>
    <n v="91"/>
    <s v="OUTLIER"/>
    <n v="-74.037999999999997"/>
    <n v="40.668999999999997"/>
  </r>
  <r>
    <s v="L1056"/>
    <x v="8"/>
    <s v="Zilker"/>
    <n v="551"/>
    <s v="1St Ave"/>
    <x v="2"/>
    <n v="1"/>
    <n v="1970"/>
    <x v="56"/>
    <x v="56"/>
    <n v="359.41"/>
    <x v="2"/>
    <x v="55"/>
    <s v="Multi-Family"/>
    <x v="2"/>
    <s v="Tenant-Occupied"/>
    <n v="8"/>
    <n v="517190.99000000005"/>
    <n v="-97.783000000000001"/>
    <n v="30.172000000000001"/>
  </r>
  <r>
    <s v="L1057"/>
    <x v="8"/>
    <s v="Downtown"/>
    <n v="252"/>
    <s v="Pine St"/>
    <x v="0"/>
    <n v="2"/>
    <n v="1961"/>
    <x v="57"/>
    <x v="57"/>
    <n v="480.39"/>
    <x v="3"/>
    <x v="56"/>
    <s v="Multi-Family"/>
    <x v="0"/>
    <s v="Needs Roof Repair"/>
    <n v="45"/>
    <n v="910819.44"/>
    <n v="-97.703000000000003"/>
    <n v="30.285"/>
  </r>
  <r>
    <s v="L1058"/>
    <x v="4"/>
    <s v="Back Bay"/>
    <n v="553"/>
    <s v="1St Ave"/>
    <x v="1"/>
    <n v="2"/>
    <n v="1997"/>
    <x v="58"/>
    <x v="58"/>
    <n v="516.89"/>
    <x v="0"/>
    <x v="57"/>
    <s v="Loft"/>
    <x v="1"/>
    <s v="Tenant-Occupied"/>
    <n v="35"/>
    <n v="966067.41"/>
    <n v="-71.055000000000007"/>
    <n v="42.305"/>
  </r>
  <r>
    <s v="L1059"/>
    <x v="7"/>
    <s v="Beverly Hills"/>
    <n v="277"/>
    <s v="Pine St"/>
    <x v="0"/>
    <n v="3"/>
    <n v="1907"/>
    <x v="59"/>
    <x v="50"/>
    <n v="627.1"/>
    <x v="2"/>
    <x v="58"/>
    <s v="Single Family"/>
    <x v="0"/>
    <s v="Needs Roof Repair"/>
    <n v="116"/>
    <s v="OUTLIER"/>
    <n v="-118.324"/>
    <n v="34.003"/>
  </r>
  <r>
    <s v="L1060"/>
    <x v="0"/>
    <s v="Sunset"/>
    <n v="172"/>
    <s v="Oak Ave"/>
    <x v="2"/>
    <n v="1"/>
    <n v="1988"/>
    <x v="60"/>
    <x v="59"/>
    <n v="347.42"/>
    <x v="4"/>
    <x v="59"/>
    <s v="Townhouse"/>
    <x v="2"/>
    <s v="Tenant-Occupied"/>
    <n v="2"/>
    <n v="575327.52"/>
    <n v="-122.373"/>
    <n v="37.728000000000002"/>
  </r>
  <r>
    <s v="L1061"/>
    <x v="4"/>
    <s v="Allston"/>
    <n v="709"/>
    <s v="Pine St"/>
    <x v="1"/>
    <n v="2"/>
    <n v="1969"/>
    <x v="61"/>
    <x v="60"/>
    <n v="468.26"/>
    <x v="2"/>
    <x v="60"/>
    <s v="Townhouse"/>
    <x v="1"/>
    <s v="Recently Renovated Kitchen"/>
    <n v="56"/>
    <n v="899527.46"/>
    <n v="-71.126999999999995"/>
    <n v="42.274000000000001"/>
  </r>
  <r>
    <s v="L1062"/>
    <x v="4"/>
    <s v="Beacon Hill"/>
    <n v="852"/>
    <s v="1St Ave"/>
    <x v="2"/>
    <n v="1"/>
    <n v="1938"/>
    <x v="62"/>
    <x v="61"/>
    <n v="430.94"/>
    <x v="6"/>
    <x v="61"/>
    <s v="Loft"/>
    <x v="0"/>
    <s v="Tenant-Occupied"/>
    <n v="9"/>
    <n v="697260.92"/>
    <n v="-71.040000000000006"/>
    <n v="42.347999999999999"/>
  </r>
  <r>
    <s v="L1063"/>
    <x v="7"/>
    <s v="Venice"/>
    <n v="881"/>
    <s v="Oak Ave"/>
    <x v="2"/>
    <n v="1"/>
    <n v="1986"/>
    <x v="63"/>
    <x v="62"/>
    <n v="527.79"/>
    <x v="0"/>
    <x v="62"/>
    <s v="Condo"/>
    <x v="3"/>
    <s v="Unkown "/>
    <n v="60"/>
    <n v="591652.59"/>
    <n v="-118.286"/>
    <n v="34.084000000000003"/>
  </r>
  <r>
    <s v="L1064"/>
    <x v="3"/>
    <s v="Astoria"/>
    <n v="786"/>
    <s v="Main St"/>
    <x v="4"/>
    <n v="3"/>
    <n v="1923"/>
    <x v="64"/>
    <x v="63"/>
    <n v="597.48"/>
    <x v="1"/>
    <x v="63"/>
    <s v="Multi-Family"/>
    <x v="3"/>
    <s v="Recently Renovated Kitchen"/>
    <n v="40"/>
    <s v="OUTLIER"/>
    <n v="-74.028000000000006"/>
    <n v="40.704000000000001"/>
  </r>
  <r>
    <s v="L1065"/>
    <x v="8"/>
    <s v="Zilker"/>
    <n v="985"/>
    <s v="Pine St"/>
    <x v="4"/>
    <n v="3"/>
    <n v="1936"/>
    <x v="65"/>
    <x v="64"/>
    <n v="507.5"/>
    <x v="0"/>
    <x v="64"/>
    <s v="Condo"/>
    <x v="0"/>
    <s v="Tenant-Occupied"/>
    <n v="39"/>
    <s v="OUTLIER"/>
    <n v="-97.775000000000006"/>
    <n v="30.233000000000001"/>
  </r>
  <r>
    <s v="L1066"/>
    <x v="1"/>
    <s v="Capitol Hill"/>
    <n v="373"/>
    <s v="Pine St"/>
    <x v="4"/>
    <n v="4"/>
    <n v="1924"/>
    <x v="66"/>
    <x v="65"/>
    <n v="459.79"/>
    <x v="1"/>
    <x v="65"/>
    <s v="Loft"/>
    <x v="1"/>
    <s v="Needs Roof Repair"/>
    <n v="45"/>
    <n v="1110392.8500000001"/>
    <n v="-122.27800000000001"/>
    <n v="47.625"/>
  </r>
  <r>
    <s v="L1067"/>
    <x v="8"/>
    <s v="Zilker"/>
    <n v="665"/>
    <s v="Maple Rd"/>
    <x v="4"/>
    <n v="3"/>
    <n v="1962"/>
    <x v="67"/>
    <x v="66"/>
    <n v="578.26"/>
    <x v="3"/>
    <x v="66"/>
    <s v="Loft"/>
    <x v="1"/>
    <s v="Unkown "/>
    <n v="66"/>
    <s v="OUTLIER"/>
    <n v="-97.778000000000006"/>
    <n v="30.312000000000001"/>
  </r>
  <r>
    <s v="L1068"/>
    <x v="0"/>
    <s v="Sunset"/>
    <n v="349"/>
    <s v="Maple Rd"/>
    <x v="2"/>
    <n v="1"/>
    <n v="1915"/>
    <x v="68"/>
    <x v="67"/>
    <n v="323.43"/>
    <x v="4"/>
    <x v="67"/>
    <s v="Townhouse"/>
    <x v="0"/>
    <s v="Tenant-Occupied"/>
    <n v="50"/>
    <n v="373885.08"/>
    <n v="-122.26300000000001"/>
    <n v="37.725000000000001"/>
  </r>
  <r>
    <s v="L1069"/>
    <x v="6"/>
    <s v="Hawthorne"/>
    <n v="373"/>
    <s v="Main St"/>
    <x v="4"/>
    <n v="4"/>
    <n v="1976"/>
    <x v="69"/>
    <x v="68"/>
    <n v="686.26"/>
    <x v="2"/>
    <x v="68"/>
    <s v="Condo"/>
    <x v="0"/>
    <s v="Vacant"/>
    <n v="150"/>
    <s v="OUTLIER"/>
    <n v="-122.697"/>
    <n v="45.578000000000003"/>
  </r>
  <r>
    <s v="L1070"/>
    <x v="4"/>
    <s v="Cambridge"/>
    <n v="486"/>
    <s v="Maple Rd"/>
    <x v="3"/>
    <n v="5"/>
    <n v="1984"/>
    <x v="70"/>
    <x v="69"/>
    <n v="679.25"/>
    <x v="2"/>
    <x v="69"/>
    <s v="Multi-Family"/>
    <x v="0"/>
    <s v="Vacant"/>
    <n v="63"/>
    <s v="OUTLIER"/>
    <n v="-71.05"/>
    <n v="42.329000000000001"/>
  </r>
  <r>
    <s v="L1071"/>
    <x v="2"/>
    <s v="Capitol Hill"/>
    <n v="779"/>
    <s v="Oak Ave"/>
    <x v="1"/>
    <n v="2"/>
    <n v="1929"/>
    <x v="71"/>
    <x v="70"/>
    <n v="490.53"/>
    <x v="3"/>
    <x v="70"/>
    <s v="Townhouse"/>
    <x v="1"/>
    <s v="Tenant-Occupied"/>
    <n v="57"/>
    <n v="962910.3899999999"/>
    <n v="-104.928"/>
    <n v="39.780999999999999"/>
  </r>
  <r>
    <s v="L1072"/>
    <x v="3"/>
    <s v="Upper East Side"/>
    <n v="519"/>
    <s v="Oak Ave"/>
    <x v="1"/>
    <n v="3"/>
    <n v="1975"/>
    <x v="72"/>
    <x v="71"/>
    <n v="532.09"/>
    <x v="2"/>
    <x v="71"/>
    <s v="Multi-Family"/>
    <x v="2"/>
    <s v="Needs Roof Repair"/>
    <n v="20"/>
    <n v="855068.63"/>
    <n v="-74.106999999999999"/>
    <n v="40.792000000000002"/>
  </r>
  <r>
    <s v="L1073"/>
    <x v="0"/>
    <s v="Soma"/>
    <n v="741"/>
    <s v="Maple Rd"/>
    <x v="0"/>
    <n v="3"/>
    <n v="1988"/>
    <x v="73"/>
    <x v="72"/>
    <n v="565.85"/>
    <x v="3"/>
    <x v="72"/>
    <s v="Townhouse"/>
    <x v="1"/>
    <s v="Recently Renovated Kitchen"/>
    <n v="21"/>
    <s v="OUTLIER"/>
    <n v="-122.354"/>
    <n v="37.841999999999999"/>
  </r>
  <r>
    <s v="L1074"/>
    <x v="6"/>
    <s v="Alberta"/>
    <n v="554"/>
    <s v="Oak Ave"/>
    <x v="3"/>
    <n v="5"/>
    <n v="1980"/>
    <x v="74"/>
    <x v="73"/>
    <n v="644.59"/>
    <x v="5"/>
    <x v="73"/>
    <s v="Condo"/>
    <x v="0"/>
    <s v="Unkown "/>
    <n v="20"/>
    <s v="OUTLIER"/>
    <n v="-122.65300000000001"/>
    <n v="45.44"/>
  </r>
  <r>
    <s v="L1075"/>
    <x v="4"/>
    <s v="Back Bay"/>
    <n v="911"/>
    <s v="Oak Ave"/>
    <x v="2"/>
    <n v="1"/>
    <n v="1907"/>
    <x v="75"/>
    <x v="74"/>
    <n v="432.56"/>
    <x v="1"/>
    <x v="74"/>
    <s v="Townhouse"/>
    <x v="0"/>
    <s v="New Hvac"/>
    <n v="2"/>
    <n v="766496.32"/>
    <n v="-71.078000000000003"/>
    <n v="42.308999999999997"/>
  </r>
  <r>
    <s v="L1076"/>
    <x v="8"/>
    <s v="South Congress"/>
    <n v="782"/>
    <s v="Main St"/>
    <x v="2"/>
    <n v="1"/>
    <n v="1948"/>
    <x v="76"/>
    <x v="75"/>
    <n v="413.81"/>
    <x v="4"/>
    <x v="75"/>
    <s v="Loft"/>
    <x v="2"/>
    <s v="Recently Renovated Kitchen"/>
    <n v="13"/>
    <n v="546643.01"/>
    <n v="-97.789000000000001"/>
    <n v="30.262"/>
  </r>
  <r>
    <s v="L1077"/>
    <x v="3"/>
    <s v="Brooklyn Heights"/>
    <n v="303"/>
    <s v="Maple Rd"/>
    <x v="3"/>
    <n v="5"/>
    <n v="1956"/>
    <x v="77"/>
    <x v="76"/>
    <n v="692.96"/>
    <x v="0"/>
    <x v="76"/>
    <s v="Townhouse"/>
    <x v="0"/>
    <s v="Recently Renovated Kitchen"/>
    <n v="15"/>
    <s v="OUTLIER"/>
    <n v="-74.06"/>
    <n v="40.695"/>
  </r>
  <r>
    <s v="L1078"/>
    <x v="3"/>
    <s v="Upper East Side"/>
    <n v="679"/>
    <s v="Main St"/>
    <x v="1"/>
    <n v="2"/>
    <n v="1945"/>
    <x v="78"/>
    <x v="77"/>
    <n v="572.55999999999995"/>
    <x v="6"/>
    <x v="33"/>
    <s v="Townhouse"/>
    <x v="2"/>
    <s v="Unkown "/>
    <n v="25"/>
    <s v="OUTLIER"/>
    <n v="-74.031000000000006"/>
    <n v="40.776000000000003"/>
  </r>
  <r>
    <s v="L1079"/>
    <x v="7"/>
    <s v="Beverly Hills"/>
    <n v="885"/>
    <s v="Oak Ave"/>
    <x v="0"/>
    <n v="2"/>
    <n v="1929"/>
    <x v="79"/>
    <x v="78"/>
    <n v="613.21"/>
    <x v="6"/>
    <x v="77"/>
    <s v="Single Family"/>
    <x v="0"/>
    <s v="New Hvac"/>
    <n v="60"/>
    <s v="OUTLIER"/>
    <n v="-118.20399999999999"/>
    <n v="34.073999999999998"/>
  </r>
  <r>
    <s v="L1080"/>
    <x v="0"/>
    <s v="Mission"/>
    <n v="305"/>
    <s v="Oak Ave"/>
    <x v="0"/>
    <n v="2"/>
    <n v="1904"/>
    <x v="80"/>
    <x v="79"/>
    <n v="474.45"/>
    <x v="1"/>
    <x v="78"/>
    <s v="Single Family"/>
    <x v="2"/>
    <s v="Needs Roof Repair"/>
    <n v="50"/>
    <n v="902403.9"/>
    <n v="-122.28100000000001"/>
    <n v="37.728999999999999"/>
  </r>
  <r>
    <s v="L1081"/>
    <x v="6"/>
    <s v="Nob Hill"/>
    <n v="579"/>
    <s v="Main St"/>
    <x v="3"/>
    <n v="5"/>
    <n v="1934"/>
    <x v="81"/>
    <x v="80"/>
    <n v="658.84"/>
    <x v="5"/>
    <x v="79"/>
    <s v="Multi-Family"/>
    <x v="3"/>
    <s v="Unkown "/>
    <n v="24"/>
    <s v="OUTLIER"/>
    <n v="-122.60599999999999"/>
    <n v="45.478999999999999"/>
  </r>
  <r>
    <s v="L1082"/>
    <x v="8"/>
    <s v="South Congress"/>
    <n v="477"/>
    <s v="1St Ave"/>
    <x v="4"/>
    <n v="3"/>
    <n v="2002"/>
    <x v="82"/>
    <x v="81"/>
    <n v="521.24"/>
    <x v="1"/>
    <x v="80"/>
    <s v="Condo"/>
    <x v="1"/>
    <s v="Tenant-Occupied"/>
    <n v="87"/>
    <s v="OUTLIER"/>
    <n v="-97.733000000000004"/>
    <n v="30.172999999999998"/>
  </r>
  <r>
    <s v="L1083"/>
    <x v="7"/>
    <s v="Beverly Hills"/>
    <n v="763"/>
    <s v="Main St"/>
    <x v="0"/>
    <n v="3"/>
    <n v="1929"/>
    <x v="83"/>
    <x v="82"/>
    <n v="584.95000000000005"/>
    <x v="3"/>
    <x v="81"/>
    <s v="Loft"/>
    <x v="1"/>
    <s v="Needs Roof Repair"/>
    <n v="62"/>
    <s v="OUTLIER"/>
    <n v="-118.157"/>
    <n v="34.061999999999998"/>
  </r>
  <r>
    <s v="L1084"/>
    <x v="3"/>
    <s v="Brooklyn Heights"/>
    <n v="564"/>
    <s v="1St Ave"/>
    <x v="4"/>
    <n v="4"/>
    <n v="1905"/>
    <x v="84"/>
    <x v="83"/>
    <n v="675.01"/>
    <x v="6"/>
    <x v="82"/>
    <s v="Multi-Family"/>
    <x v="2"/>
    <s v="Tenant-Occupied"/>
    <n v="10"/>
    <s v="OUTLIER"/>
    <n v="-74.001999999999995"/>
    <n v="40.656999999999996"/>
  </r>
  <r>
    <s v="L1085"/>
    <x v="6"/>
    <s v="Richmond"/>
    <n v="479"/>
    <s v="Oak Ave"/>
    <x v="3"/>
    <n v="4"/>
    <n v="1919"/>
    <x v="85"/>
    <x v="84"/>
    <n v="763.79"/>
    <x v="2"/>
    <x v="83"/>
    <s v="Multi-Family"/>
    <x v="0"/>
    <s v="New Hvac"/>
    <n v="13"/>
    <s v="OUTLIER"/>
    <n v="-122.724"/>
    <n v="45.607999999999997"/>
  </r>
  <r>
    <s v="L1086"/>
    <x v="3"/>
    <s v="Brooklyn Heights"/>
    <n v="193"/>
    <s v="Oak Ave"/>
    <x v="1"/>
    <n v="1"/>
    <n v="1912"/>
    <x v="86"/>
    <x v="85"/>
    <n v="573.13"/>
    <x v="0"/>
    <x v="84"/>
    <s v="Townhouse"/>
    <x v="2"/>
    <s v="Tenant-Occupied"/>
    <n v="7"/>
    <n v="1095251.43"/>
    <n v="-73.915999999999997"/>
    <n v="40.664999999999999"/>
  </r>
  <r>
    <s v="L1087"/>
    <x v="7"/>
    <s v="Hollywood"/>
    <n v="932"/>
    <s v="Oak Ave"/>
    <x v="2"/>
    <n v="1"/>
    <n v="1931"/>
    <x v="87"/>
    <x v="86"/>
    <n v="392.09"/>
    <x v="0"/>
    <x v="85"/>
    <s v="Single Family"/>
    <x v="2"/>
    <s v="Needs Roof Repair"/>
    <n v="4"/>
    <n v="582253.64999999991"/>
    <n v="-118.29900000000001"/>
    <n v="34.103000000000002"/>
  </r>
  <r>
    <s v="L1088"/>
    <x v="2"/>
    <s v="Capitol Hill"/>
    <n v="234"/>
    <s v="Main St"/>
    <x v="3"/>
    <n v="5"/>
    <n v="2009"/>
    <x v="88"/>
    <x v="87"/>
    <n v="596.01"/>
    <x v="2"/>
    <x v="86"/>
    <s v="Loft"/>
    <x v="0"/>
    <s v="Unkown "/>
    <n v="83"/>
    <s v="OUTLIER"/>
    <n v="-104.958"/>
    <n v="39.674999999999997"/>
  </r>
  <r>
    <s v="L1089"/>
    <x v="2"/>
    <s v="Capitol Hill"/>
    <n v="559"/>
    <s v="1St Ave"/>
    <x v="3"/>
    <n v="5"/>
    <n v="1922"/>
    <x v="89"/>
    <x v="88"/>
    <n v="630.89"/>
    <x v="3"/>
    <x v="87"/>
    <s v="Single Family"/>
    <x v="1"/>
    <s v="Tenant-Occupied"/>
    <n v="38"/>
    <s v="OUTLIER"/>
    <n v="-104.941"/>
    <n v="39.744999999999997"/>
  </r>
  <r>
    <s v="L1090"/>
    <x v="6"/>
    <s v="Alberta"/>
    <n v="967"/>
    <s v="Maple Rd"/>
    <x v="2"/>
    <n v="1"/>
    <n v="1928"/>
    <x v="90"/>
    <x v="89"/>
    <n v="443.77"/>
    <x v="4"/>
    <x v="88"/>
    <s v="Townhouse"/>
    <x v="0"/>
    <s v="Tenant-Occupied"/>
    <n v="69"/>
    <n v="825412.2"/>
    <n v="-122.768"/>
    <n v="45.613"/>
  </r>
  <r>
    <s v="L1091"/>
    <x v="5"/>
    <s v="Wynwood"/>
    <n v="699"/>
    <s v="Pine St"/>
    <x v="4"/>
    <n v="3"/>
    <n v="1956"/>
    <x v="91"/>
    <x v="90"/>
    <n v="574.67999999999995"/>
    <x v="3"/>
    <x v="89"/>
    <s v="Townhouse"/>
    <x v="0"/>
    <s v="New Hvac"/>
    <n v="48"/>
    <s v="OUTLIER"/>
    <n v="-80.234999999999999"/>
    <n v="25.672999999999998"/>
  </r>
  <r>
    <s v="L1092"/>
    <x v="2"/>
    <s v="Cherry Creek"/>
    <n v="998"/>
    <s v="Pine St"/>
    <x v="3"/>
    <n v="5"/>
    <n v="1958"/>
    <x v="92"/>
    <x v="91"/>
    <n v="630.77"/>
    <x v="0"/>
    <x v="90"/>
    <s v="Multi-Family"/>
    <x v="2"/>
    <s v="New Hvac"/>
    <n v="37"/>
    <s v="OUTLIER"/>
    <n v="-104.919"/>
    <n v="39.78"/>
  </r>
  <r>
    <s v="L1093"/>
    <x v="9"/>
    <s v="Gold Coast"/>
    <n v="361"/>
    <s v="1St Ave"/>
    <x v="4"/>
    <n v="3"/>
    <n v="1952"/>
    <x v="93"/>
    <x v="92"/>
    <n v="565.96"/>
    <x v="4"/>
    <x v="91"/>
    <s v="Multi-Family"/>
    <x v="0"/>
    <s v="New Hvac"/>
    <n v="54"/>
    <s v="OUTLIER"/>
    <n v="-87.635000000000005"/>
    <n v="41.798999999999999"/>
  </r>
  <r>
    <s v="L1094"/>
    <x v="8"/>
    <s v="East Austin"/>
    <n v="700"/>
    <s v="Pine St"/>
    <x v="2"/>
    <n v="3"/>
    <n v="1910"/>
    <x v="94"/>
    <x v="93"/>
    <n v="332.68"/>
    <x v="1"/>
    <x v="92"/>
    <s v="Condo"/>
    <x v="1"/>
    <s v="Unkown "/>
    <n v="98"/>
    <n v="631093.96"/>
    <n v="-97.813999999999993"/>
    <n v="30.245000000000001"/>
  </r>
  <r>
    <s v="L1095"/>
    <x v="6"/>
    <s v="Nob Hill"/>
    <n v="258"/>
    <s v="Maple Rd"/>
    <x v="2"/>
    <n v="1"/>
    <n v="2011"/>
    <x v="95"/>
    <x v="94"/>
    <n v="511.63"/>
    <x v="3"/>
    <x v="93"/>
    <s v="Townhouse"/>
    <x v="0"/>
    <s v="Needs Roof Repair"/>
    <n v="52"/>
    <n v="517769.56"/>
    <n v="-122.664"/>
    <n v="45.49"/>
  </r>
  <r>
    <s v="L1096"/>
    <x v="9"/>
    <s v="Lincoln Park"/>
    <n v="728"/>
    <s v="Pine St"/>
    <x v="0"/>
    <n v="2"/>
    <n v="1947"/>
    <x v="96"/>
    <x v="95"/>
    <n v="479.25"/>
    <x v="6"/>
    <x v="94"/>
    <s v="Loft"/>
    <x v="2"/>
    <s v="Vacant"/>
    <n v="28"/>
    <n v="1039972.5"/>
    <n v="-87.608000000000004"/>
    <n v="41.866"/>
  </r>
  <r>
    <s v="L1097"/>
    <x v="1"/>
    <s v="Queen Anne"/>
    <n v="171"/>
    <s v="Oak Ave"/>
    <x v="0"/>
    <n v="3"/>
    <n v="1934"/>
    <x v="97"/>
    <x v="96"/>
    <n v="426.13"/>
    <x v="0"/>
    <x v="46"/>
    <s v="Townhouse"/>
    <x v="2"/>
    <s v="Tenant-Occupied"/>
    <n v="60"/>
    <n v="842459.01"/>
    <n v="-122.31699999999999"/>
    <n v="47.673999999999999"/>
  </r>
  <r>
    <s v="L1098"/>
    <x v="1"/>
    <s v="Capitol Hill"/>
    <n v="710"/>
    <s v="Main St"/>
    <x v="3"/>
    <n v="5"/>
    <n v="1953"/>
    <x v="98"/>
    <x v="97"/>
    <n v="525.49"/>
    <x v="6"/>
    <x v="95"/>
    <s v="Single Family"/>
    <x v="0"/>
    <s v="Vacant"/>
    <n v="61"/>
    <s v="OUTLIER"/>
    <n v="-122.27500000000001"/>
    <n v="47.643999999999998"/>
  </r>
  <r>
    <s v="L1099"/>
    <x v="1"/>
    <s v="Ballard"/>
    <n v="320"/>
    <s v="Pine St"/>
    <x v="1"/>
    <n v="1"/>
    <n v="1906"/>
    <x v="99"/>
    <x v="98"/>
    <n v="425.19"/>
    <x v="6"/>
    <x v="96"/>
    <s v="Multi-Family"/>
    <x v="0"/>
    <s v="Recently Renovated Kitchen"/>
    <n v="53"/>
    <n v="798081.63"/>
    <n v="-122.342"/>
    <n v="47.597000000000001"/>
  </r>
  <r>
    <s v="L1100"/>
    <x v="0"/>
    <s v="Richmond"/>
    <n v="156"/>
    <s v="Main St"/>
    <x v="4"/>
    <n v="4"/>
    <n v="1986"/>
    <x v="100"/>
    <x v="99"/>
    <n v="506.61"/>
    <x v="4"/>
    <x v="97"/>
    <s v="Loft"/>
    <x v="0"/>
    <s v="Vacant"/>
    <n v="57"/>
    <n v="1110995.73"/>
    <n v="-122.351"/>
    <n v="37.679000000000002"/>
  </r>
  <r>
    <s v="L1101"/>
    <x v="9"/>
    <s v="Lakeview"/>
    <n v="489"/>
    <s v="Pine St"/>
    <x v="1"/>
    <n v="1"/>
    <n v="1997"/>
    <x v="101"/>
    <x v="100"/>
    <n v="457.33"/>
    <x v="6"/>
    <x v="98"/>
    <s v="Townhouse"/>
    <x v="2"/>
    <s v="Needs Roof Repair"/>
    <n v="38"/>
    <n v="893165.49"/>
    <n v="-87.634"/>
    <n v="41.878999999999998"/>
  </r>
  <r>
    <s v="L1102"/>
    <x v="9"/>
    <s v="West Loop"/>
    <n v="982"/>
    <s v="1St Ave"/>
    <x v="3"/>
    <n v="4"/>
    <n v="2003"/>
    <x v="102"/>
    <x v="101"/>
    <n v="587.05999999999995"/>
    <x v="3"/>
    <x v="99"/>
    <s v="Multi-Family"/>
    <x v="1"/>
    <s v="Unkown "/>
    <n v="51"/>
    <s v="OUTLIER"/>
    <n v="-87.715999999999994"/>
    <n v="41.787999999999997"/>
  </r>
  <r>
    <s v="L1103"/>
    <x v="7"/>
    <s v="Beverly Hills"/>
    <n v="571"/>
    <s v="1St Ave"/>
    <x v="3"/>
    <n v="5"/>
    <n v="1981"/>
    <x v="103"/>
    <x v="102"/>
    <n v="723.78"/>
    <x v="6"/>
    <x v="98"/>
    <s v="Condo"/>
    <x v="0"/>
    <s v="Vacant"/>
    <n v="67"/>
    <s v="OUTLIER"/>
    <n v="-118.306"/>
    <n v="34.143000000000001"/>
  </r>
  <r>
    <s v="L1104"/>
    <x v="0"/>
    <s v="Soma"/>
    <n v="897"/>
    <s v="Oak Ave"/>
    <x v="2"/>
    <n v="1"/>
    <n v="1975"/>
    <x v="104"/>
    <x v="103"/>
    <n v="406.66"/>
    <x v="4"/>
    <x v="100"/>
    <s v="Condo"/>
    <x v="0"/>
    <s v="Recently Renovated Kitchen"/>
    <n v="74"/>
    <n v="693761.96000000008"/>
    <n v="-122.36199999999999"/>
    <n v="37.731999999999999"/>
  </r>
  <r>
    <s v="L1105"/>
    <x v="0"/>
    <s v="Nob Hill"/>
    <n v="256"/>
    <s v="Main St"/>
    <x v="2"/>
    <n v="1"/>
    <n v="1924"/>
    <x v="105"/>
    <x v="104"/>
    <n v="398.92"/>
    <x v="6"/>
    <x v="30"/>
    <s v="Single Family"/>
    <x v="2"/>
    <s v="Vacant"/>
    <n v="25"/>
    <n v="600374.6"/>
    <n v="-122.39100000000001"/>
    <n v="37.698999999999998"/>
  </r>
  <r>
    <s v="L1106"/>
    <x v="8"/>
    <s v="East Austin"/>
    <n v="423"/>
    <s v="Oak Ave"/>
    <x v="4"/>
    <n v="3"/>
    <n v="1997"/>
    <x v="106"/>
    <x v="105"/>
    <n v="542.25"/>
    <x v="4"/>
    <x v="101"/>
    <s v="Loft"/>
    <x v="0"/>
    <s v="New Hvac"/>
    <n v="37"/>
    <s v="OUTLIER"/>
    <n v="-97.775000000000006"/>
    <n v="30.367000000000001"/>
  </r>
  <r>
    <s v="L1107"/>
    <x v="3"/>
    <s v="Upper East Side"/>
    <n v="158"/>
    <s v="1St Ave"/>
    <x v="4"/>
    <n v="4"/>
    <n v="1938"/>
    <x v="107"/>
    <x v="106"/>
    <n v="606.22"/>
    <x v="0"/>
    <x v="102"/>
    <s v="Condo"/>
    <x v="0"/>
    <s v="Unkown "/>
    <n v="97"/>
    <s v="OUTLIER"/>
    <n v="-74.018000000000001"/>
    <n v="40.625"/>
  </r>
  <r>
    <s v="L1108"/>
    <x v="4"/>
    <s v="Back Bay"/>
    <n v="929"/>
    <s v="Pine St"/>
    <x v="2"/>
    <n v="1"/>
    <n v="1964"/>
    <x v="108"/>
    <x v="107"/>
    <n v="385.16"/>
    <x v="4"/>
    <x v="103"/>
    <s v="Loft"/>
    <x v="0"/>
    <s v="Tenant-Occupied"/>
    <n v="69"/>
    <n v="480679.68000000005"/>
    <n v="-70.980999999999995"/>
    <n v="42.417999999999999"/>
  </r>
  <r>
    <s v="L1109"/>
    <x v="9"/>
    <s v="Lakeview"/>
    <n v="616"/>
    <s v="Oak Ave"/>
    <x v="3"/>
    <n v="5"/>
    <n v="1919"/>
    <x v="109"/>
    <x v="108"/>
    <n v="629.5"/>
    <x v="4"/>
    <x v="104"/>
    <s v="Condo"/>
    <x v="1"/>
    <s v="Unkown "/>
    <n v="53"/>
    <s v="OUTLIER"/>
    <n v="-87.524000000000001"/>
    <n v="41.947000000000003"/>
  </r>
  <r>
    <s v="L1110"/>
    <x v="1"/>
    <s v="Ballard"/>
    <n v="795"/>
    <s v="Pine St"/>
    <x v="4"/>
    <n v="3"/>
    <n v="1967"/>
    <x v="110"/>
    <x v="109"/>
    <n v="469.95"/>
    <x v="0"/>
    <x v="105"/>
    <s v="Single Family"/>
    <x v="0"/>
    <s v="Recently Renovated Kitchen"/>
    <n v="37"/>
    <n v="1126470.1499999999"/>
    <n v="-122.35299999999999"/>
    <n v="47.683999999999997"/>
  </r>
  <r>
    <s v="L1111"/>
    <x v="1"/>
    <s v="Belltown"/>
    <n v="441"/>
    <s v="Main St"/>
    <x v="2"/>
    <n v="1"/>
    <n v="1971"/>
    <x v="111"/>
    <x v="110"/>
    <n v="393.01"/>
    <x v="0"/>
    <x v="105"/>
    <s v="Townhouse"/>
    <x v="1"/>
    <s v="Needs Roof Repair"/>
    <n v="30"/>
    <n v="523096.31"/>
    <n v="-122.249"/>
    <n v="47.631"/>
  </r>
  <r>
    <s v="L1112"/>
    <x v="7"/>
    <s v="Silver Lake"/>
    <n v="910"/>
    <s v="1St Ave"/>
    <x v="0"/>
    <n v="3"/>
    <n v="1983"/>
    <x v="112"/>
    <x v="111"/>
    <n v="620"/>
    <x v="2"/>
    <x v="106"/>
    <s v="Loft"/>
    <x v="1"/>
    <s v="New Hvac"/>
    <n v="47"/>
    <s v="OUTLIER"/>
    <n v="-118.22799999999999"/>
    <n v="33.966999999999999"/>
  </r>
  <r>
    <s v="L1113"/>
    <x v="8"/>
    <s v="Hyde Park"/>
    <n v="296"/>
    <s v="Oak Ave"/>
    <x v="2"/>
    <n v="1"/>
    <n v="1954"/>
    <x v="113"/>
    <x v="112"/>
    <n v="366.8"/>
    <x v="1"/>
    <x v="107"/>
    <s v="Condo"/>
    <x v="0"/>
    <s v="Tenant-Occupied"/>
    <n v="42"/>
    <n v="498481.2"/>
    <n v="-97.796999999999997"/>
    <n v="30.206"/>
  </r>
  <r>
    <s v="L1114"/>
    <x v="8"/>
    <s v="South Congress"/>
    <n v="997"/>
    <s v="Pine St"/>
    <x v="2"/>
    <n v="1"/>
    <n v="2000"/>
    <x v="114"/>
    <x v="113"/>
    <n v="361.43"/>
    <x v="4"/>
    <x v="10"/>
    <s v="Loft"/>
    <x v="1"/>
    <s v="Recently Renovated Kitchen"/>
    <n v="20"/>
    <n v="564192.23"/>
    <n v="-97.831999999999994"/>
    <n v="30.347000000000001"/>
  </r>
  <r>
    <s v="L1115"/>
    <x v="8"/>
    <s v="Hyde Park"/>
    <n v="725"/>
    <s v="1St Ave"/>
    <x v="4"/>
    <n v="4"/>
    <n v="1923"/>
    <x v="115"/>
    <x v="51"/>
    <n v="478.28"/>
    <x v="1"/>
    <x v="108"/>
    <s v="Condo"/>
    <x v="0"/>
    <s v="Tenant-Occupied"/>
    <n v="7"/>
    <s v="OUTLIER"/>
    <n v="-97.792000000000002"/>
    <n v="30.305"/>
  </r>
  <r>
    <s v="L1116"/>
    <x v="3"/>
    <s v="Harlem"/>
    <n v="896"/>
    <s v="Maple Rd"/>
    <x v="3"/>
    <n v="5"/>
    <n v="2003"/>
    <x v="116"/>
    <x v="114"/>
    <n v="685.26"/>
    <x v="5"/>
    <x v="109"/>
    <s v="Townhouse"/>
    <x v="0"/>
    <s v="Recently Renovated Kitchen"/>
    <n v="44"/>
    <s v="OUTLIER"/>
    <n v="-74.022000000000006"/>
    <n v="40.723999999999997"/>
  </r>
  <r>
    <s v="L1117"/>
    <x v="6"/>
    <s v="Alberta"/>
    <n v="667"/>
    <s v="Main St"/>
    <x v="4"/>
    <n v="3"/>
    <n v="2004"/>
    <x v="117"/>
    <x v="115"/>
    <n v="691.5"/>
    <x v="0"/>
    <x v="110"/>
    <s v="Single Family"/>
    <x v="1"/>
    <s v="Recently Renovated Kitchen"/>
    <n v="30"/>
    <s v="OUTLIER"/>
    <n v="-122.684"/>
    <n v="45.43"/>
  </r>
  <r>
    <s v="L1118"/>
    <x v="0"/>
    <s v="Pearl District"/>
    <n v="936"/>
    <s v="Maple Rd"/>
    <x v="0"/>
    <n v="3"/>
    <n v="1920"/>
    <x v="118"/>
    <x v="116"/>
    <n v="568.99"/>
    <x v="4"/>
    <x v="111"/>
    <s v="Loft"/>
    <x v="2"/>
    <s v="Needs Roof Repair"/>
    <n v="34"/>
    <s v="OUTLIER"/>
    <n v="-122.59099999999999"/>
    <n v="45.506999999999998"/>
  </r>
  <r>
    <s v="L1119"/>
    <x v="2"/>
    <s v="Lodo"/>
    <n v="959"/>
    <s v="1St Ave"/>
    <x v="4"/>
    <n v="4"/>
    <n v="1964"/>
    <x v="119"/>
    <x v="117"/>
    <n v="614.94000000000005"/>
    <x v="5"/>
    <x v="112"/>
    <s v="Multi-Family"/>
    <x v="3"/>
    <s v="Unkown "/>
    <n v="10"/>
    <s v="OUTLIER"/>
    <n v="-105.084"/>
    <n v="39.715000000000003"/>
  </r>
  <r>
    <s v="L1120"/>
    <x v="8"/>
    <s v="South Congress"/>
    <n v="320"/>
    <s v="Oak Ave"/>
    <x v="2"/>
    <n v="1"/>
    <n v="2006"/>
    <x v="120"/>
    <x v="118"/>
    <n v="457.73"/>
    <x v="2"/>
    <x v="113"/>
    <s v="Multi-Family"/>
    <x v="0"/>
    <s v="Recently Renovated Kitchen"/>
    <n v="31"/>
    <n v="746099.9"/>
    <n v="-97.823999999999998"/>
    <n v="30.170999999999999"/>
  </r>
  <r>
    <s v="L1121"/>
    <x v="6"/>
    <s v="Alberta"/>
    <n v="568"/>
    <s v="Main St"/>
    <x v="3"/>
    <n v="5"/>
    <n v="1999"/>
    <x v="121"/>
    <x v="119"/>
    <n v="737.6"/>
    <x v="5"/>
    <x v="114"/>
    <s v="Townhouse"/>
    <x v="2"/>
    <s v="Vacant"/>
    <n v="22"/>
    <s v="OUTLIER"/>
    <n v="-122.652"/>
    <n v="45.468000000000004"/>
  </r>
  <r>
    <s v="L1122"/>
    <x v="0"/>
    <s v="Soma"/>
    <n v="346"/>
    <s v="Pine St"/>
    <x v="3"/>
    <n v="5"/>
    <n v="1980"/>
    <x v="122"/>
    <x v="120"/>
    <n v="576"/>
    <x v="0"/>
    <x v="115"/>
    <s v="Single Family"/>
    <x v="1"/>
    <s v="Recently Renovated Kitchen"/>
    <n v="37"/>
    <s v="OUTLIER"/>
    <n v="-122.43"/>
    <n v="37.728000000000002"/>
  </r>
  <r>
    <s v="L1123"/>
    <x v="5"/>
    <s v="South Beach"/>
    <n v="994"/>
    <s v="Maple Rd"/>
    <x v="2"/>
    <n v="1"/>
    <n v="1946"/>
    <x v="123"/>
    <x v="121"/>
    <n v="459.09"/>
    <x v="4"/>
    <x v="116"/>
    <s v="Loft"/>
    <x v="0"/>
    <s v="Tenant-Occupied"/>
    <n v="49"/>
    <n v="600030.63"/>
    <n v="-80.179000000000002"/>
    <n v="25.858000000000001"/>
  </r>
  <r>
    <s v="L1124"/>
    <x v="1"/>
    <s v="Fremont"/>
    <n v="852"/>
    <s v="1St Ave"/>
    <x v="0"/>
    <n v="3"/>
    <n v="1902"/>
    <x v="124"/>
    <x v="50"/>
    <n v="489.38"/>
    <x v="3"/>
    <x v="117"/>
    <s v="Townhouse"/>
    <x v="2"/>
    <s v="Vacant"/>
    <n v="99"/>
    <s v="OUTLIER"/>
    <n v="-122.40900000000001"/>
    <n v="47.631"/>
  </r>
  <r>
    <s v="L1125"/>
    <x v="8"/>
    <s v="Downtown"/>
    <n v="137"/>
    <s v="1St Ave"/>
    <x v="0"/>
    <n v="3"/>
    <n v="2004"/>
    <x v="125"/>
    <x v="122"/>
    <n v="520.53"/>
    <x v="4"/>
    <x v="118"/>
    <s v="Multi-Family"/>
    <x v="0"/>
    <s v="Tenant-Occupied"/>
    <n v="40"/>
    <n v="993171.24"/>
    <n v="-97.826999999999998"/>
    <n v="30.332000000000001"/>
  </r>
  <r>
    <s v="L1126"/>
    <x v="9"/>
    <s v="Lincoln Park"/>
    <n v="295"/>
    <s v="1St Ave"/>
    <x v="1"/>
    <n v="1"/>
    <n v="1940"/>
    <x v="126"/>
    <x v="123"/>
    <n v="428.14"/>
    <x v="1"/>
    <x v="108"/>
    <s v="Multi-Family"/>
    <x v="3"/>
    <s v="New Hvac"/>
    <n v="9"/>
    <n v="1004844.58"/>
    <n v="-87.668999999999997"/>
    <n v="41.889000000000003"/>
  </r>
  <r>
    <s v="L1127"/>
    <x v="2"/>
    <s v="Lodo"/>
    <n v="608"/>
    <s v="Maple Rd"/>
    <x v="0"/>
    <n v="3"/>
    <n v="2002"/>
    <x v="127"/>
    <x v="124"/>
    <n v="467.11"/>
    <x v="1"/>
    <x v="119"/>
    <s v="Multi-Family"/>
    <x v="1"/>
    <s v="Needs Roof Repair"/>
    <n v="19"/>
    <n v="910864.5"/>
    <n v="-105.01300000000001"/>
    <n v="39.819000000000003"/>
  </r>
  <r>
    <s v="L1128"/>
    <x v="2"/>
    <s v="Rino"/>
    <n v="205"/>
    <s v="Main St"/>
    <x v="0"/>
    <n v="2"/>
    <n v="1993"/>
    <x v="128"/>
    <x v="125"/>
    <n v="560.09"/>
    <x v="3"/>
    <x v="120"/>
    <s v="Multi-Family"/>
    <x v="0"/>
    <s v="Recently Renovated Kitchen"/>
    <n v="45"/>
    <n v="1069771.9000000001"/>
    <n v="-104.98099999999999"/>
    <n v="39.804000000000002"/>
  </r>
  <r>
    <s v="L1129"/>
    <x v="2"/>
    <s v="Highlands"/>
    <n v="729"/>
    <s v="Maple Rd"/>
    <x v="0"/>
    <n v="3"/>
    <n v="1991"/>
    <x v="129"/>
    <x v="126"/>
    <n v="591.08000000000004"/>
    <x v="2"/>
    <x v="121"/>
    <s v="Multi-Family"/>
    <x v="0"/>
    <s v="Recently Renovated Kitchen"/>
    <n v="17"/>
    <s v="OUTLIER"/>
    <n v="-104.916"/>
    <n v="39.648000000000003"/>
  </r>
  <r>
    <s v="L1130"/>
    <x v="4"/>
    <s v="Back Bay"/>
    <n v="135"/>
    <s v="Oak Ave"/>
    <x v="2"/>
    <n v="1"/>
    <n v="1951"/>
    <x v="130"/>
    <x v="127"/>
    <n v="452.99"/>
    <x v="4"/>
    <x v="122"/>
    <s v="Single Family"/>
    <x v="3"/>
    <s v="Tenant-Occupied"/>
    <n v="4"/>
    <n v="577562.25"/>
    <n v="-71.037999999999997"/>
    <n v="42.289000000000001"/>
  </r>
  <r>
    <s v="L1131"/>
    <x v="0"/>
    <s v="Sunset"/>
    <n v="687"/>
    <s v="Oak Ave"/>
    <x v="0"/>
    <n v="3"/>
    <n v="1972"/>
    <x v="131"/>
    <x v="128"/>
    <n v="510.01"/>
    <x v="0"/>
    <x v="123"/>
    <s v="Single Family"/>
    <x v="0"/>
    <s v="Unkown "/>
    <n v="20"/>
    <s v="OUTLIER"/>
    <n v="-122.35599999999999"/>
    <n v="37.86"/>
  </r>
  <r>
    <s v="L1132"/>
    <x v="6"/>
    <s v="Nob Hill"/>
    <n v="220"/>
    <s v="1St Ave"/>
    <x v="4"/>
    <n v="4"/>
    <n v="1935"/>
    <x v="132"/>
    <x v="129"/>
    <n v="712.15"/>
    <x v="2"/>
    <x v="124"/>
    <s v="Condo"/>
    <x v="1"/>
    <s v="Vacant"/>
    <n v="31"/>
    <s v="OUTLIER"/>
    <n v="-122.703"/>
    <n v="45.52"/>
  </r>
  <r>
    <s v="L1133"/>
    <x v="4"/>
    <s v="Beacon Hill"/>
    <n v="555"/>
    <s v="Main St"/>
    <x v="1"/>
    <n v="1"/>
    <n v="1936"/>
    <x v="133"/>
    <x v="130"/>
    <n v="421.78"/>
    <x v="5"/>
    <x v="125"/>
    <s v="Condo"/>
    <x v="2"/>
    <s v="New Hvac"/>
    <n v="17"/>
    <n v="889534.0199999999"/>
    <n v="-71.125"/>
    <n v="42.274999999999999"/>
  </r>
  <r>
    <s v="L1134"/>
    <x v="2"/>
    <s v="Highlands"/>
    <n v="911"/>
    <s v="Oak Ave"/>
    <x v="2"/>
    <n v="1"/>
    <n v="1937"/>
    <x v="134"/>
    <x v="131"/>
    <n v="451.77"/>
    <x v="2"/>
    <x v="126"/>
    <s v="Single Family"/>
    <x v="1"/>
    <s v="Needs Roof Repair"/>
    <n v="21"/>
    <n v="678106.77"/>
    <n v="-105.066"/>
    <n v="39.741999999999997"/>
  </r>
  <r>
    <s v="L1135"/>
    <x v="9"/>
    <s v="Gold Coast"/>
    <n v="834"/>
    <s v="Maple Rd"/>
    <x v="2"/>
    <n v="1"/>
    <n v="1973"/>
    <x v="135"/>
    <x v="59"/>
    <n v="369.52"/>
    <x v="4"/>
    <x v="127"/>
    <s v="Loft"/>
    <x v="2"/>
    <s v="Tenant-Occupied"/>
    <n v="30"/>
    <n v="611925.12"/>
    <n v="-87.706999999999994"/>
    <n v="41.957000000000001"/>
  </r>
  <r>
    <s v="L1136"/>
    <x v="6"/>
    <s v="Richmond"/>
    <n v="755"/>
    <s v="Pine St"/>
    <x v="4"/>
    <n v="3"/>
    <n v="1909"/>
    <x v="136"/>
    <x v="132"/>
    <n v="676.15"/>
    <x v="6"/>
    <x v="128"/>
    <s v="Condo"/>
    <x v="0"/>
    <s v="Vacant"/>
    <n v="56"/>
    <s v="OUTLIER"/>
    <n v="-122.711"/>
    <n v="45.555999999999997"/>
  </r>
  <r>
    <s v="L1137"/>
    <x v="8"/>
    <s v="South Congress"/>
    <n v="330"/>
    <s v="1St Ave"/>
    <x v="4"/>
    <n v="4"/>
    <n v="2011"/>
    <x v="137"/>
    <x v="133"/>
    <n v="471.28"/>
    <x v="2"/>
    <x v="129"/>
    <s v="Loft"/>
    <x v="2"/>
    <s v="New Hvac"/>
    <n v="73"/>
    <n v="998642.32"/>
    <n v="-97.775000000000006"/>
    <n v="30.202999999999999"/>
  </r>
  <r>
    <s v="L1138"/>
    <x v="6"/>
    <s v="Nob Hill"/>
    <n v="272"/>
    <s v="Pine St"/>
    <x v="2"/>
    <n v="1"/>
    <n v="1981"/>
    <x v="138"/>
    <x v="134"/>
    <n v="490.17"/>
    <x v="6"/>
    <x v="130"/>
    <s v="Single Family"/>
    <x v="0"/>
    <s v="New Hvac"/>
    <n v="81"/>
    <n v="775939.11"/>
    <n v="-122.761"/>
    <n v="45.542999999999999"/>
  </r>
  <r>
    <s v="L1139"/>
    <x v="7"/>
    <s v="Silver Lake"/>
    <n v="889"/>
    <s v="Pine St"/>
    <x v="1"/>
    <n v="1"/>
    <n v="1992"/>
    <x v="139"/>
    <x v="135"/>
    <n v="637.75"/>
    <x v="6"/>
    <x v="130"/>
    <s v="Loft"/>
    <x v="2"/>
    <s v="New Hvac"/>
    <n v="37"/>
    <s v="OUTLIER"/>
    <n v="-118.324"/>
    <n v="34.122999999999998"/>
  </r>
  <r>
    <s v="L1140"/>
    <x v="4"/>
    <s v="South End"/>
    <n v="515"/>
    <s v="1St Ave"/>
    <x v="3"/>
    <n v="5"/>
    <n v="1981"/>
    <x v="140"/>
    <x v="136"/>
    <n v="694.4"/>
    <x v="4"/>
    <x v="131"/>
    <s v="Loft"/>
    <x v="0"/>
    <s v="New Hvac"/>
    <n v="27"/>
    <s v="OUTLIER"/>
    <n v="-71.063000000000002"/>
    <n v="42.451000000000001"/>
  </r>
  <r>
    <s v="L1141"/>
    <x v="3"/>
    <s v="Upper East Side"/>
    <n v="851"/>
    <s v="1St Ave"/>
    <x v="2"/>
    <n v="1"/>
    <n v="1953"/>
    <x v="141"/>
    <x v="137"/>
    <n v="522.73"/>
    <x v="4"/>
    <x v="132"/>
    <s v="Single Family"/>
    <x v="0"/>
    <s v="Recently Renovated Kitchen"/>
    <n v="76"/>
    <n v="911118.39"/>
    <n v="-73.938000000000002"/>
    <n v="40.639000000000003"/>
  </r>
  <r>
    <s v="L1142"/>
    <x v="5"/>
    <s v="South Beach"/>
    <n v="397"/>
    <s v="Maple Rd"/>
    <x v="0"/>
    <n v="3"/>
    <n v="1913"/>
    <x v="142"/>
    <x v="138"/>
    <n v="597.49"/>
    <x v="5"/>
    <x v="133"/>
    <s v="Multi-Family"/>
    <x v="2"/>
    <s v="Unkown "/>
    <n v="66"/>
    <n v="1110733.9099999999"/>
    <n v="-80.262"/>
    <n v="25.75"/>
  </r>
  <r>
    <s v="L1143"/>
    <x v="7"/>
    <s v="Beverly Hills"/>
    <n v="578"/>
    <s v="Maple Rd"/>
    <x v="1"/>
    <n v="1"/>
    <n v="2015"/>
    <x v="143"/>
    <x v="139"/>
    <n v="525.99"/>
    <x v="6"/>
    <x v="134"/>
    <s v="Loft"/>
    <x v="1"/>
    <s v="Vacant"/>
    <n v="26"/>
    <n v="715346.4"/>
    <n v="-118.30800000000001"/>
    <n v="33.988"/>
  </r>
  <r>
    <s v="L1144"/>
    <x v="4"/>
    <s v="Beacon Hill"/>
    <n v="711"/>
    <s v="Maple Rd"/>
    <x v="2"/>
    <n v="1"/>
    <n v="1950"/>
    <x v="144"/>
    <x v="140"/>
    <n v="468.16"/>
    <x v="4"/>
    <x v="135"/>
    <s v="Single Family"/>
    <x v="2"/>
    <s v="Tenant-Occupied"/>
    <n v="80"/>
    <n v="670873.28"/>
    <n v="-71.150000000000006"/>
    <n v="42.331000000000003"/>
  </r>
  <r>
    <s v="L1145"/>
    <x v="4"/>
    <s v="Allston"/>
    <n v="675"/>
    <s v="Oak Ave"/>
    <x v="2"/>
    <n v="1"/>
    <n v="1955"/>
    <x v="145"/>
    <x v="141"/>
    <n v="487.61"/>
    <x v="5"/>
    <x v="24"/>
    <s v="Townhouse"/>
    <x v="1"/>
    <s v="Vacant"/>
    <n v="6"/>
    <n v="740679.59"/>
    <n v="-71.08"/>
    <n v="42.332999999999998"/>
  </r>
  <r>
    <s v="L1146"/>
    <x v="2"/>
    <s v="Rino"/>
    <n v="199"/>
    <s v="Maple Rd"/>
    <x v="0"/>
    <n v="3"/>
    <n v="1964"/>
    <x v="146"/>
    <x v="142"/>
    <n v="553.67999999999995"/>
    <x v="0"/>
    <x v="136"/>
    <s v="Townhouse"/>
    <x v="1"/>
    <s v="Needs Roof Repair"/>
    <n v="46"/>
    <n v="926860.32"/>
    <n v="-104.968"/>
    <n v="39.765000000000001"/>
  </r>
  <r>
    <s v="L1147"/>
    <x v="2"/>
    <s v="Highlands"/>
    <n v="830"/>
    <s v="1St Ave"/>
    <x v="3"/>
    <n v="4"/>
    <n v="1996"/>
    <x v="147"/>
    <x v="143"/>
    <n v="563.08000000000004"/>
    <x v="5"/>
    <x v="137"/>
    <s v="Loft"/>
    <x v="0"/>
    <s v="Needs Roof Repair"/>
    <n v="32"/>
    <s v="OUTLIER"/>
    <n v="-105.081"/>
    <n v="39.74"/>
  </r>
  <r>
    <s v="L1148"/>
    <x v="3"/>
    <s v="Astoria"/>
    <n v="857"/>
    <s v="1St Ave"/>
    <x v="4"/>
    <n v="4"/>
    <n v="2014"/>
    <x v="148"/>
    <x v="144"/>
    <n v="673.65"/>
    <x v="2"/>
    <x v="138"/>
    <s v="Townhouse"/>
    <x v="1"/>
    <s v="Vacant"/>
    <n v="45"/>
    <s v="OUTLIER"/>
    <n v="-74.031000000000006"/>
    <n v="40.673999999999999"/>
  </r>
  <r>
    <s v="L1149"/>
    <x v="7"/>
    <s v="Venice"/>
    <n v="526"/>
    <s v="Pine St"/>
    <x v="3"/>
    <n v="4"/>
    <n v="1968"/>
    <x v="149"/>
    <x v="145"/>
    <n v="713.91"/>
    <x v="0"/>
    <x v="139"/>
    <s v="Townhouse"/>
    <x v="0"/>
    <s v="Unkown "/>
    <n v="3"/>
    <s v="OUTLIER"/>
    <n v="-118.274"/>
    <n v="33.953000000000003"/>
  </r>
  <r>
    <s v="L1150"/>
    <x v="4"/>
    <s v="Back Bay"/>
    <n v="838"/>
    <s v="Pine St"/>
    <x v="3"/>
    <n v="5"/>
    <n v="1983"/>
    <x v="150"/>
    <x v="146"/>
    <n v="674.67"/>
    <x v="0"/>
    <x v="140"/>
    <s v="Single Family"/>
    <x v="1"/>
    <s v="New Hvac"/>
    <n v="5"/>
    <s v="OUTLIER"/>
    <n v="-71.126000000000005"/>
    <n v="42.377000000000002"/>
  </r>
  <r>
    <s v="L1151"/>
    <x v="5"/>
    <s v="South Beach"/>
    <n v="520"/>
    <s v="Pine St"/>
    <x v="1"/>
    <n v="2"/>
    <n v="1989"/>
    <x v="151"/>
    <x v="147"/>
    <n v="492.36"/>
    <x v="5"/>
    <x v="141"/>
    <s v="Condo"/>
    <x v="0"/>
    <s v="Needs Roof Repair"/>
    <n v="11"/>
    <n v="948285.36"/>
    <n v="-80.206999999999994"/>
    <n v="25.744"/>
  </r>
  <r>
    <s v="L1152"/>
    <x v="7"/>
    <s v="Beverly Hills"/>
    <n v="570"/>
    <s v="Pine St"/>
    <x v="2"/>
    <n v="1"/>
    <n v="1966"/>
    <x v="152"/>
    <x v="148"/>
    <n v="484.65"/>
    <x v="0"/>
    <x v="142"/>
    <s v="Townhouse"/>
    <x v="3"/>
    <s v="Needs Roof Repair"/>
    <n v="18"/>
    <n v="713889.45"/>
    <n v="-118.265"/>
    <n v="34.045999999999999"/>
  </r>
  <r>
    <s v="L1153"/>
    <x v="2"/>
    <s v="Rino"/>
    <n v="404"/>
    <s v="1St Ave"/>
    <x v="0"/>
    <n v="2"/>
    <n v="2011"/>
    <x v="153"/>
    <x v="149"/>
    <n v="627.51"/>
    <x v="0"/>
    <x v="143"/>
    <s v="Multi-Family"/>
    <x v="2"/>
    <s v="Needs Roof Repair"/>
    <n v="36"/>
    <n v="1130145.51"/>
    <n v="-104.97799999999999"/>
    <n v="39.689"/>
  </r>
  <r>
    <s v="L1154"/>
    <x v="9"/>
    <s v="Gold Coast"/>
    <n v="938"/>
    <s v="1St Ave"/>
    <x v="0"/>
    <n v="3"/>
    <n v="1971"/>
    <x v="154"/>
    <x v="150"/>
    <n v="517.91999999999996"/>
    <x v="6"/>
    <x v="144"/>
    <s v="Condo"/>
    <x v="0"/>
    <s v="Tenant-Occupied"/>
    <n v="31"/>
    <n v="996995.99999999988"/>
    <n v="-87.540999999999997"/>
    <n v="41.889000000000003"/>
  </r>
  <r>
    <s v="L1155"/>
    <x v="8"/>
    <s v="Zilker"/>
    <n v="377"/>
    <s v="Pine St"/>
    <x v="2"/>
    <n v="1"/>
    <n v="1991"/>
    <x v="155"/>
    <x v="151"/>
    <n v="404.74"/>
    <x v="6"/>
    <x v="145"/>
    <s v="Multi-Family"/>
    <x v="0"/>
    <s v="Vacant"/>
    <n v="57"/>
    <n v="584849.30000000005"/>
    <n v="-97.796999999999997"/>
    <n v="30.318999999999999"/>
  </r>
  <r>
    <s v="L1156"/>
    <x v="4"/>
    <s v="South End"/>
    <n v="202"/>
    <s v="Maple Rd"/>
    <x v="2"/>
    <n v="1"/>
    <n v="1975"/>
    <x v="156"/>
    <x v="152"/>
    <n v="403.84"/>
    <x v="5"/>
    <x v="146"/>
    <s v="Condo"/>
    <x v="0"/>
    <s v="Unkown "/>
    <n v="26"/>
    <n v="552049.27999999991"/>
    <n v="-71.031999999999996"/>
    <n v="42.366"/>
  </r>
  <r>
    <s v="L1157"/>
    <x v="2"/>
    <s v="Cherry Creek"/>
    <n v="766"/>
    <s v="Oak Ave"/>
    <x v="2"/>
    <n v="1"/>
    <n v="1917"/>
    <x v="157"/>
    <x v="153"/>
    <n v="367.74"/>
    <x v="0"/>
    <x v="147"/>
    <s v="Single Family"/>
    <x v="0"/>
    <s v="Tenant-Occupied"/>
    <n v="76"/>
    <n v="340159.5"/>
    <n v="-104.914"/>
    <n v="39.826999999999998"/>
  </r>
  <r>
    <s v="L1158"/>
    <x v="4"/>
    <s v="Cambridge"/>
    <n v="527"/>
    <s v="Oak Ave"/>
    <x v="0"/>
    <n v="2"/>
    <n v="2016"/>
    <x v="158"/>
    <x v="154"/>
    <n v="514.37"/>
    <x v="0"/>
    <x v="148"/>
    <s v="Single Family"/>
    <x v="0"/>
    <s v="Needs Roof Repair"/>
    <n v="52"/>
    <s v="OUTLIER"/>
    <n v="-70.972999999999999"/>
    <n v="42.405000000000001"/>
  </r>
  <r>
    <s v="L1159"/>
    <x v="1"/>
    <s v="Fremont"/>
    <n v="391"/>
    <s v="Maple Rd"/>
    <x v="4"/>
    <n v="4"/>
    <n v="1995"/>
    <x v="159"/>
    <x v="155"/>
    <n v="622.58000000000004"/>
    <x v="3"/>
    <x v="149"/>
    <s v="Condo"/>
    <x v="0"/>
    <s v="Recently Renovated Kitchen"/>
    <n v="68"/>
    <s v="OUTLIER"/>
    <n v="-122.244"/>
    <n v="47.621000000000002"/>
  </r>
  <r>
    <s v="L1160"/>
    <x v="6"/>
    <s v="Alberta"/>
    <n v="763"/>
    <s v="1St Ave"/>
    <x v="4"/>
    <n v="3"/>
    <n v="1917"/>
    <x v="160"/>
    <x v="156"/>
    <n v="627.51"/>
    <x v="4"/>
    <x v="150"/>
    <s v="Townhouse"/>
    <x v="2"/>
    <s v="Tenant-Occupied"/>
    <n v="13"/>
    <s v="OUTLIER"/>
    <n v="-122.748"/>
    <n v="45.442999999999998"/>
  </r>
  <r>
    <s v="L1161"/>
    <x v="8"/>
    <s v="Downtown"/>
    <n v="435"/>
    <s v="Main St"/>
    <x v="0"/>
    <n v="2"/>
    <n v="1972"/>
    <x v="161"/>
    <x v="157"/>
    <n v="456.59"/>
    <x v="2"/>
    <x v="151"/>
    <s v="Loft"/>
    <x v="1"/>
    <s v="Vacant"/>
    <n v="7"/>
    <n v="982125.09"/>
    <n v="-97.674999999999997"/>
    <n v="30.349"/>
  </r>
  <r>
    <s v="L1162"/>
    <x v="5"/>
    <s v="Wynwood"/>
    <n v="409"/>
    <s v="Pine St"/>
    <x v="1"/>
    <n v="1"/>
    <n v="1961"/>
    <x v="162"/>
    <x v="158"/>
    <n v="477.74"/>
    <x v="5"/>
    <x v="152"/>
    <s v="Condo"/>
    <x v="0"/>
    <s v="Recently Renovated Kitchen"/>
    <n v="85"/>
    <n v="782538.12"/>
    <n v="-80.138999999999996"/>
    <n v="25.707000000000001"/>
  </r>
  <r>
    <s v="L1163"/>
    <x v="7"/>
    <s v="Hollywood"/>
    <n v="888"/>
    <s v="1St Ave"/>
    <x v="0"/>
    <n v="2"/>
    <n v="1988"/>
    <x v="163"/>
    <x v="159"/>
    <n v="628.04999999999995"/>
    <x v="3"/>
    <x v="153"/>
    <s v="Condo"/>
    <x v="0"/>
    <s v="New Hvac"/>
    <n v="79"/>
    <s v="OUTLIER"/>
    <n v="-118.203"/>
    <n v="33.981999999999999"/>
  </r>
  <r>
    <s v="L1164"/>
    <x v="0"/>
    <s v="Richmond"/>
    <n v="662"/>
    <s v="Maple Rd"/>
    <x v="0"/>
    <n v="2"/>
    <n v="1928"/>
    <x v="164"/>
    <x v="133"/>
    <n v="430.69"/>
    <x v="4"/>
    <x v="154"/>
    <s v="Single Family"/>
    <x v="0"/>
    <s v="New Hvac"/>
    <n v="80"/>
    <n v="912632.11"/>
    <n v="-122.355"/>
    <n v="37.868000000000002"/>
  </r>
  <r>
    <s v="L1165"/>
    <x v="6"/>
    <s v="Hawthorne"/>
    <n v="163"/>
    <s v="Pine St"/>
    <x v="1"/>
    <n v="1"/>
    <n v="1976"/>
    <x v="165"/>
    <x v="160"/>
    <n v="511.44"/>
    <x v="4"/>
    <x v="155"/>
    <s v="Multi-Family"/>
    <x v="0"/>
    <s v="Unkown "/>
    <n v="29"/>
    <n v="989636.4"/>
    <n v="-122.59699999999999"/>
    <n v="45.491999999999997"/>
  </r>
  <r>
    <s v="L1166"/>
    <x v="6"/>
    <s v="Hawthorne"/>
    <n v="622"/>
    <s v="Maple Rd"/>
    <x v="3"/>
    <n v="5"/>
    <n v="1921"/>
    <x v="166"/>
    <x v="105"/>
    <n v="655.61"/>
    <x v="4"/>
    <x v="156"/>
    <s v="Multi-Family"/>
    <x v="2"/>
    <s v="Unkown "/>
    <n v="62"/>
    <s v="OUTLIER"/>
    <n v="-122.663"/>
    <n v="45.460999999999999"/>
  </r>
  <r>
    <s v="L1167"/>
    <x v="1"/>
    <s v="Fremont"/>
    <n v="360"/>
    <s v="Main St"/>
    <x v="1"/>
    <n v="2"/>
    <n v="1958"/>
    <x v="167"/>
    <x v="161"/>
    <n v="351.45"/>
    <x v="3"/>
    <x v="157"/>
    <s v="Loft"/>
    <x v="0"/>
    <s v="Tenant-Occupied"/>
    <n v="51"/>
    <n v="800251.65"/>
    <n v="-122.285"/>
    <n v="47.661000000000001"/>
  </r>
  <r>
    <s v="L1168"/>
    <x v="9"/>
    <s v="West Loop"/>
    <n v="393"/>
    <s v="Maple Rd"/>
    <x v="2"/>
    <n v="1"/>
    <n v="1944"/>
    <x v="168"/>
    <x v="162"/>
    <n v="379.17"/>
    <x v="0"/>
    <x v="158"/>
    <s v="Condo"/>
    <x v="1"/>
    <s v="Unkown "/>
    <n v="17"/>
    <n v="506950.29000000004"/>
    <n v="-87.533000000000001"/>
    <n v="41.793999999999997"/>
  </r>
  <r>
    <s v="L1169"/>
    <x v="0"/>
    <s v="South Congress"/>
    <n v="236"/>
    <s v="1St Ave"/>
    <x v="4"/>
    <n v="4"/>
    <n v="2014"/>
    <x v="169"/>
    <x v="163"/>
    <n v="544.32000000000005"/>
    <x v="4"/>
    <x v="159"/>
    <s v="Multi-Family"/>
    <x v="0"/>
    <s v="Vacant"/>
    <n v="10"/>
    <s v="OUTLIER"/>
    <n v="-97.707999999999998"/>
    <n v="30.306999999999999"/>
  </r>
  <r>
    <s v="L1170"/>
    <x v="0"/>
    <s v="Sunset"/>
    <n v="644"/>
    <s v="Maple Rd"/>
    <x v="3"/>
    <n v="5"/>
    <n v="1916"/>
    <x v="170"/>
    <x v="164"/>
    <n v="566.04999999999995"/>
    <x v="3"/>
    <x v="160"/>
    <s v="Condo"/>
    <x v="3"/>
    <s v="Tenant-Occupied"/>
    <n v="27"/>
    <s v="OUTLIER"/>
    <n v="-122.286"/>
    <n v="37.762999999999998"/>
  </r>
  <r>
    <s v="L1171"/>
    <x v="9"/>
    <s v="Wicker Park"/>
    <n v="346"/>
    <s v="Oak Ave"/>
    <x v="4"/>
    <n v="4"/>
    <n v="1935"/>
    <x v="171"/>
    <x v="165"/>
    <n v="533.48"/>
    <x v="2"/>
    <x v="161"/>
    <s v="Condo"/>
    <x v="1"/>
    <s v="Unkown "/>
    <n v="57"/>
    <s v="OUTLIER"/>
    <n v="-87.566999999999993"/>
    <n v="41.863999999999997"/>
  </r>
  <r>
    <s v="L1172"/>
    <x v="0"/>
    <s v="Mission"/>
    <n v="243"/>
    <s v="Pine St"/>
    <x v="3"/>
    <n v="5"/>
    <n v="1976"/>
    <x v="172"/>
    <x v="166"/>
    <n v="525.04999999999995"/>
    <x v="5"/>
    <x v="162"/>
    <s v="Condo"/>
    <x v="0"/>
    <s v="Unkown "/>
    <n v="37"/>
    <s v="OUTLIER"/>
    <n v="-122.387"/>
    <n v="37.716999999999999"/>
  </r>
  <r>
    <s v="L1173"/>
    <x v="4"/>
    <s v="South End"/>
    <n v="407"/>
    <s v="1St Ave"/>
    <x v="3"/>
    <n v="5"/>
    <n v="1976"/>
    <x v="173"/>
    <x v="167"/>
    <n v="563.35"/>
    <x v="5"/>
    <x v="163"/>
    <s v="Townhouse"/>
    <x v="1"/>
    <s v="Tenant-Occupied"/>
    <n v="51"/>
    <s v="OUTLIER"/>
    <n v="-71.055999999999997"/>
    <n v="42.457000000000001"/>
  </r>
  <r>
    <s v="L1174"/>
    <x v="1"/>
    <s v="Queen Anne"/>
    <n v="490"/>
    <s v="Pine St"/>
    <x v="3"/>
    <n v="4"/>
    <n v="2016"/>
    <x v="174"/>
    <x v="168"/>
    <n v="569.64"/>
    <x v="1"/>
    <x v="164"/>
    <s v="Loft"/>
    <x v="0"/>
    <s v="New Hvac"/>
    <n v="12"/>
    <s v="OUTLIER"/>
    <n v="-122.242"/>
    <n v="47.694000000000003"/>
  </r>
  <r>
    <s v="L1175"/>
    <x v="2"/>
    <s v="Cherry Creek"/>
    <n v="925"/>
    <s v="Maple Rd"/>
    <x v="4"/>
    <n v="4"/>
    <n v="1948"/>
    <x v="175"/>
    <x v="169"/>
    <n v="530.91999999999996"/>
    <x v="0"/>
    <x v="165"/>
    <s v="Multi-Family"/>
    <x v="2"/>
    <s v="Needs Roof Repair"/>
    <n v="36"/>
    <n v="1034763.08"/>
    <n v="-104.91800000000001"/>
    <n v="39.685000000000002"/>
  </r>
  <r>
    <s v="L1176"/>
    <x v="1"/>
    <s v="Queen Anne"/>
    <n v="967"/>
    <s v="1St Ave"/>
    <x v="4"/>
    <n v="3"/>
    <n v="1971"/>
    <x v="176"/>
    <x v="145"/>
    <n v="469.98"/>
    <x v="2"/>
    <x v="166"/>
    <s v="Multi-Family"/>
    <x v="2"/>
    <s v="Tenant-Occupied"/>
    <n v="54"/>
    <n v="1158500.7"/>
    <n v="-122.301"/>
    <n v="47.540999999999997"/>
  </r>
  <r>
    <s v="L1177"/>
    <x v="0"/>
    <s v="Nob Hill"/>
    <n v="787"/>
    <s v="Pine St"/>
    <x v="1"/>
    <n v="2"/>
    <n v="1948"/>
    <x v="177"/>
    <x v="170"/>
    <n v="431.19"/>
    <x v="0"/>
    <x v="167"/>
    <s v="Condo"/>
    <x v="1"/>
    <s v="New Hvac"/>
    <n v="1"/>
    <n v="597198.15"/>
    <n v="-122.27800000000001"/>
    <n v="37.707999999999998"/>
  </r>
  <r>
    <s v="L1178"/>
    <x v="9"/>
    <s v="Gold Coast"/>
    <n v="348"/>
    <s v="Pine St"/>
    <x v="1"/>
    <n v="1"/>
    <n v="1942"/>
    <x v="178"/>
    <x v="171"/>
    <n v="461.92"/>
    <x v="3"/>
    <x v="168"/>
    <s v="Single Family"/>
    <x v="1"/>
    <s v="Tenant-Occupied"/>
    <n v="9"/>
    <n v="756163.04"/>
    <n v="-87.697000000000003"/>
    <n v="41.972000000000001"/>
  </r>
  <r>
    <s v="L1179"/>
    <x v="9"/>
    <s v="Gold Coast"/>
    <n v="609"/>
    <s v="Maple Rd"/>
    <x v="1"/>
    <n v="2"/>
    <n v="1999"/>
    <x v="179"/>
    <x v="172"/>
    <n v="499.15"/>
    <x v="1"/>
    <x v="169"/>
    <s v="Multi-Family"/>
    <x v="0"/>
    <s v="Vacant"/>
    <n v="17"/>
    <n v="850551.6"/>
    <n v="-87.668000000000006"/>
    <n v="41.851999999999997"/>
  </r>
  <r>
    <s v="L1180"/>
    <x v="0"/>
    <s v="Soma"/>
    <n v="666"/>
    <s v="Pine St"/>
    <x v="0"/>
    <n v="2"/>
    <n v="1947"/>
    <x v="180"/>
    <x v="173"/>
    <n v="425.22"/>
    <x v="1"/>
    <x v="170"/>
    <s v="Condo"/>
    <x v="0"/>
    <s v="Recently Renovated Kitchen"/>
    <n v="50"/>
    <n v="981832.9800000001"/>
    <n v="-122.401"/>
    <n v="37.713999999999999"/>
  </r>
  <r>
    <s v="L1181"/>
    <x v="7"/>
    <s v="Beverly Hills"/>
    <n v="445"/>
    <s v="1St Ave"/>
    <x v="0"/>
    <n v="3"/>
    <n v="1942"/>
    <x v="181"/>
    <x v="174"/>
    <n v="529"/>
    <x v="1"/>
    <x v="171"/>
    <s v="Loft"/>
    <x v="1"/>
    <s v="New Hvac"/>
    <n v="11"/>
    <s v="OUTLIER"/>
    <n v="-118.209"/>
    <n v="34.049999999999997"/>
  </r>
  <r>
    <s v="L1182"/>
    <x v="3"/>
    <s v="Chelsea"/>
    <n v="757"/>
    <s v="Main St"/>
    <x v="4"/>
    <n v="4"/>
    <n v="2001"/>
    <x v="182"/>
    <x v="175"/>
    <n v="633.21"/>
    <x v="2"/>
    <x v="172"/>
    <s v="Single Family"/>
    <x v="1"/>
    <s v="Vacant"/>
    <n v="46"/>
    <s v="OUTLIER"/>
    <n v="-73.927000000000007"/>
    <n v="40.707999999999998"/>
  </r>
  <r>
    <s v="L1183"/>
    <x v="6"/>
    <s v="Pearl District"/>
    <n v="109"/>
    <s v="Oak Ave"/>
    <x v="2"/>
    <n v="1"/>
    <n v="1985"/>
    <x v="183"/>
    <x v="176"/>
    <n v="500.53"/>
    <x v="3"/>
    <x v="173"/>
    <s v="Multi-Family"/>
    <x v="2"/>
    <s v="Needs Roof Repair"/>
    <n v="30"/>
    <n v="675214.97"/>
    <n v="-122.76600000000001"/>
    <n v="45.545999999999999"/>
  </r>
  <r>
    <s v="L1184"/>
    <x v="6"/>
    <s v="Richmond"/>
    <n v="839"/>
    <s v="1St Ave"/>
    <x v="0"/>
    <n v="3"/>
    <n v="1981"/>
    <x v="184"/>
    <x v="177"/>
    <n v="624.88"/>
    <x v="4"/>
    <x v="174"/>
    <s v="Condo"/>
    <x v="2"/>
    <s v="Vacant"/>
    <n v="45"/>
    <s v="OUTLIER"/>
    <n v="-122.77800000000001"/>
    <n v="45.53"/>
  </r>
  <r>
    <s v="L1185"/>
    <x v="6"/>
    <s v="Nob Hill"/>
    <n v="639"/>
    <s v="1St Ave"/>
    <x v="2"/>
    <n v="1"/>
    <n v="1989"/>
    <x v="185"/>
    <x v="178"/>
    <n v="495.88"/>
    <x v="5"/>
    <x v="175"/>
    <s v="Condo"/>
    <x v="1"/>
    <s v="Vacant"/>
    <n v="22"/>
    <n v="692744.36"/>
    <n v="-122.732"/>
    <n v="45.524999999999999"/>
  </r>
  <r>
    <s v="L1186"/>
    <x v="2"/>
    <s v="Highlands"/>
    <n v="769"/>
    <s v="Main St"/>
    <x v="4"/>
    <n v="4"/>
    <n v="1951"/>
    <x v="186"/>
    <x v="179"/>
    <n v="587.03"/>
    <x v="0"/>
    <x v="176"/>
    <s v="Single Family"/>
    <x v="3"/>
    <s v="Unkown "/>
    <n v="43"/>
    <s v="OUTLIER"/>
    <n v="-104.953"/>
    <n v="39.685000000000002"/>
  </r>
  <r>
    <s v="L1187"/>
    <x v="0"/>
    <s v="Soma"/>
    <n v="679"/>
    <s v="Main St"/>
    <x v="4"/>
    <n v="4"/>
    <n v="1960"/>
    <x v="187"/>
    <x v="180"/>
    <n v="549.41"/>
    <x v="3"/>
    <x v="22"/>
    <s v="Single Family"/>
    <x v="2"/>
    <s v="Recently Renovated Kitchen"/>
    <n v="25"/>
    <s v="OUTLIER"/>
    <n v="-122.301"/>
    <n v="37.838999999999999"/>
  </r>
  <r>
    <s v="L1188"/>
    <x v="6"/>
    <s v="Pearl District"/>
    <n v="677"/>
    <s v="Main St"/>
    <x v="1"/>
    <n v="2"/>
    <n v="2011"/>
    <x v="188"/>
    <x v="181"/>
    <n v="552.16"/>
    <x v="4"/>
    <x v="177"/>
    <s v="Townhouse"/>
    <x v="2"/>
    <s v="Vacant"/>
    <n v="26"/>
    <s v="OUTLIER"/>
    <n v="-122.595"/>
    <n v="45.435000000000002"/>
  </r>
  <r>
    <s v="L1189"/>
    <x v="8"/>
    <s v="Zilker"/>
    <n v="793"/>
    <s v="Pine St"/>
    <x v="2"/>
    <n v="1"/>
    <n v="1975"/>
    <x v="189"/>
    <x v="107"/>
    <n v="306.55"/>
    <x v="1"/>
    <x v="178"/>
    <s v="Condo"/>
    <x v="0"/>
    <s v="Tenant-Occupied"/>
    <n v="24"/>
    <n v="382574.4"/>
    <n v="-97.727000000000004"/>
    <n v="30.283000000000001"/>
  </r>
  <r>
    <s v="L1190"/>
    <x v="2"/>
    <s v="Cherry Creek"/>
    <n v="719"/>
    <s v="Pine St"/>
    <x v="1"/>
    <n v="1"/>
    <n v="1988"/>
    <x v="190"/>
    <x v="182"/>
    <n v="558.77"/>
    <x v="4"/>
    <x v="179"/>
    <s v="Townhouse"/>
    <x v="2"/>
    <s v="Recently Renovated Kitchen"/>
    <n v="44"/>
    <n v="1008579.85"/>
    <n v="-104.922"/>
    <n v="39.726999999999997"/>
  </r>
  <r>
    <s v="L1191"/>
    <x v="7"/>
    <s v="Beverly Hills"/>
    <n v="699"/>
    <s v="Maple Rd"/>
    <x v="0"/>
    <n v="3"/>
    <n v="1934"/>
    <x v="191"/>
    <x v="183"/>
    <n v="667.66"/>
    <x v="4"/>
    <x v="180"/>
    <s v="Single Family"/>
    <x v="0"/>
    <s v="New Hvac"/>
    <n v="31"/>
    <s v="OUTLIER"/>
    <n v="-118.254"/>
    <n v="34.137999999999998"/>
  </r>
  <r>
    <s v="L1192"/>
    <x v="0"/>
    <s v="Nob Hill"/>
    <n v="498"/>
    <s v="1St Ave"/>
    <x v="0"/>
    <n v="2"/>
    <n v="1991"/>
    <x v="192"/>
    <x v="184"/>
    <n v="493.97"/>
    <x v="3"/>
    <x v="181"/>
    <s v="Townhouse"/>
    <x v="2"/>
    <s v="New Hvac"/>
    <n v="9"/>
    <n v="1066481.23"/>
    <n v="-122.303"/>
    <n v="37.811999999999998"/>
  </r>
  <r>
    <s v="L1193"/>
    <x v="2"/>
    <s v="Lodo"/>
    <n v="668"/>
    <s v="Pine St"/>
    <x v="2"/>
    <n v="1"/>
    <n v="1939"/>
    <x v="193"/>
    <x v="185"/>
    <n v="469.12"/>
    <x v="1"/>
    <x v="182"/>
    <s v="Townhouse"/>
    <x v="2"/>
    <s v="Vacant"/>
    <n v="22"/>
    <n v="837848.32000000007"/>
    <n v="-105.004"/>
    <n v="39.656999999999996"/>
  </r>
  <r>
    <s v="L1194"/>
    <x v="5"/>
    <s v="Wynwood"/>
    <n v="497"/>
    <s v="Main St"/>
    <x v="2"/>
    <n v="1"/>
    <n v="1970"/>
    <x v="194"/>
    <x v="186"/>
    <n v="552.62"/>
    <x v="0"/>
    <x v="183"/>
    <s v="Loft"/>
    <x v="1"/>
    <s v="Tenant-Occupied"/>
    <n v="40"/>
    <n v="916243.96"/>
    <n v="-80.287999999999997"/>
    <n v="25.832999999999998"/>
  </r>
  <r>
    <s v="L1195"/>
    <x v="6"/>
    <s v="Hawthorne"/>
    <n v="545"/>
    <s v="1St Ave"/>
    <x v="3"/>
    <n v="5"/>
    <n v="1987"/>
    <x v="195"/>
    <x v="187"/>
    <n v="693.79"/>
    <x v="2"/>
    <x v="184"/>
    <s v="Single Family"/>
    <x v="0"/>
    <s v="Needs Roof Repair"/>
    <n v="9"/>
    <s v="OUTLIER"/>
    <n v="-122.751"/>
    <n v="45.473999999999997"/>
  </r>
  <r>
    <s v="L1196"/>
    <x v="5"/>
    <s v="Brickell"/>
    <n v="106"/>
    <s v="Maple Rd"/>
    <x v="4"/>
    <n v="3"/>
    <n v="1946"/>
    <x v="196"/>
    <x v="188"/>
    <n v="584.66"/>
    <x v="5"/>
    <x v="185"/>
    <s v="Multi-Family"/>
    <x v="0"/>
    <s v="Recently Renovated Kitchen"/>
    <n v="37"/>
    <s v="OUTLIER"/>
    <n v="-80.269000000000005"/>
    <n v="25.699000000000002"/>
  </r>
  <r>
    <s v="L1197"/>
    <x v="2"/>
    <s v="Rino"/>
    <n v="407"/>
    <s v="1St Ave"/>
    <x v="4"/>
    <n v="3"/>
    <n v="1942"/>
    <x v="197"/>
    <x v="81"/>
    <n v="622.88"/>
    <x v="6"/>
    <x v="186"/>
    <s v="Multi-Family"/>
    <x v="1"/>
    <s v="Needs Roof Repair"/>
    <n v="45"/>
    <s v="OUTLIER"/>
    <n v="-104.895"/>
    <n v="39.811999999999998"/>
  </r>
  <r>
    <s v="L1198"/>
    <x v="7"/>
    <s v="Silver Lake"/>
    <n v="936"/>
    <s v="Maple Rd"/>
    <x v="4"/>
    <n v="4"/>
    <n v="1950"/>
    <x v="198"/>
    <x v="189"/>
    <n v="660.34"/>
    <x v="6"/>
    <x v="187"/>
    <s v="Multi-Family"/>
    <x v="3"/>
    <s v="Recently Renovated Kitchen"/>
    <n v="26"/>
    <s v="OUTLIER"/>
    <n v="-118.27500000000001"/>
    <n v="34.106000000000002"/>
  </r>
  <r>
    <s v="L1199"/>
    <x v="2"/>
    <s v="Lodo"/>
    <n v="916"/>
    <s v="1St Ave"/>
    <x v="3"/>
    <n v="5"/>
    <n v="1969"/>
    <x v="199"/>
    <x v="190"/>
    <n v="628.66"/>
    <x v="0"/>
    <x v="64"/>
    <s v="Condo"/>
    <x v="3"/>
    <s v="Tenant-Occupied"/>
    <n v="46"/>
    <s v="OUTLIER"/>
    <n v="-104.94799999999999"/>
    <n v="39.731999999999999"/>
  </r>
  <r>
    <s v="L1200"/>
    <x v="0"/>
    <s v="Soma"/>
    <n v="590"/>
    <s v="Pine St"/>
    <x v="4"/>
    <n v="4"/>
    <n v="1938"/>
    <x v="200"/>
    <x v="191"/>
    <n v="481.4"/>
    <x v="5"/>
    <x v="188"/>
    <s v="Single Family"/>
    <x v="1"/>
    <s v="Vacant"/>
    <n v="61"/>
    <s v="OUTLIER"/>
    <n v="-122.41500000000001"/>
    <n v="37.828000000000003"/>
  </r>
  <r>
    <s v="L1201"/>
    <x v="5"/>
    <s v="Little Havana"/>
    <n v="708"/>
    <s v="Main St"/>
    <x v="3"/>
    <n v="4"/>
    <n v="2011"/>
    <x v="201"/>
    <x v="192"/>
    <n v="689.44"/>
    <x v="0"/>
    <x v="189"/>
    <s v="Condo"/>
    <x v="1"/>
    <s v="Vacant"/>
    <n v="91"/>
    <s v="OUTLIER"/>
    <n v="-80.111000000000004"/>
    <n v="25.731999999999999"/>
  </r>
  <r>
    <s v="L1202"/>
    <x v="0"/>
    <s v="Sunset"/>
    <n v="110"/>
    <s v="Main St"/>
    <x v="0"/>
    <n v="3"/>
    <n v="1978"/>
    <x v="202"/>
    <x v="193"/>
    <n v="411.03"/>
    <x v="0"/>
    <x v="190"/>
    <s v="Multi-Family"/>
    <x v="3"/>
    <s v="Unkown "/>
    <n v="18"/>
    <n v="783834.21"/>
    <n v="-122.271"/>
    <n v="37.735999999999997"/>
  </r>
  <r>
    <s v="L1203"/>
    <x v="4"/>
    <s v="South End"/>
    <n v="807"/>
    <s v="Pine St"/>
    <x v="3"/>
    <n v="4"/>
    <n v="1971"/>
    <x v="203"/>
    <x v="194"/>
    <n v="661.87"/>
    <x v="0"/>
    <x v="191"/>
    <s v="Single Family"/>
    <x v="0"/>
    <s v="Vacant"/>
    <n v="33"/>
    <s v="OUTLIER"/>
    <n v="-71.006"/>
    <n v="42.338000000000001"/>
  </r>
  <r>
    <s v="L1204"/>
    <x v="8"/>
    <s v="Zilker"/>
    <n v="566"/>
    <s v="Oak Ave"/>
    <x v="2"/>
    <n v="1"/>
    <n v="1937"/>
    <x v="204"/>
    <x v="195"/>
    <n v="349.62"/>
    <x v="3"/>
    <x v="192"/>
    <s v="Condo"/>
    <x v="1"/>
    <s v="Recently Renovated Kitchen"/>
    <n v="108"/>
    <n v="548903.4"/>
    <n v="-97.77"/>
    <n v="30.315999999999999"/>
  </r>
  <r>
    <s v="L1205"/>
    <x v="6"/>
    <s v="Richmond"/>
    <n v="763"/>
    <s v="Main St"/>
    <x v="0"/>
    <n v="3"/>
    <n v="1956"/>
    <x v="205"/>
    <x v="196"/>
    <n v="618.53"/>
    <x v="6"/>
    <x v="193"/>
    <s v="Condo"/>
    <x v="0"/>
    <s v="Recently Renovated Kitchen"/>
    <n v="56"/>
    <s v="OUTLIER"/>
    <n v="-122.75700000000001"/>
    <n v="45.582000000000001"/>
  </r>
  <r>
    <s v="L1206"/>
    <x v="0"/>
    <s v="South Congress"/>
    <n v="290"/>
    <s v="Maple Rd"/>
    <x v="3"/>
    <n v="5"/>
    <n v="1920"/>
    <x v="206"/>
    <x v="197"/>
    <n v="599.6"/>
    <x v="0"/>
    <x v="194"/>
    <s v="Multi-Family"/>
    <x v="3"/>
    <s v="Needs Roof Repair"/>
    <n v="11"/>
    <s v="OUTLIER"/>
    <n v="-97.759"/>
    <n v="30.216000000000001"/>
  </r>
  <r>
    <s v="L1207"/>
    <x v="5"/>
    <s v="Wynwood"/>
    <n v="928"/>
    <s v="Main St"/>
    <x v="3"/>
    <n v="4"/>
    <n v="1957"/>
    <x v="207"/>
    <x v="198"/>
    <n v="751.67"/>
    <x v="1"/>
    <x v="195"/>
    <s v="Multi-Family"/>
    <x v="2"/>
    <s v="New Hvac"/>
    <n v="75"/>
    <s v="OUTLIER"/>
    <n v="-80.233999999999995"/>
    <n v="25.702999999999999"/>
  </r>
  <r>
    <s v="L1208"/>
    <x v="7"/>
    <s v="Hollywood"/>
    <n v="420"/>
    <s v="Pine St"/>
    <x v="3"/>
    <n v="5"/>
    <n v="1941"/>
    <x v="208"/>
    <x v="199"/>
    <n v="707.71"/>
    <x v="4"/>
    <x v="196"/>
    <s v="Condo"/>
    <x v="0"/>
    <s v="New Hvac"/>
    <n v="5"/>
    <s v="OUTLIER"/>
    <n v="-118.23399999999999"/>
    <n v="34.122999999999998"/>
  </r>
  <r>
    <s v="L1209"/>
    <x v="5"/>
    <s v="Little Havana"/>
    <n v="704"/>
    <s v="Main St"/>
    <x v="4"/>
    <n v="4"/>
    <n v="1944"/>
    <x v="209"/>
    <x v="200"/>
    <n v="623.29"/>
    <x v="4"/>
    <x v="197"/>
    <s v="Loft"/>
    <x v="2"/>
    <s v="Vacant"/>
    <n v="67"/>
    <s v="OUTLIER"/>
    <n v="-80.13"/>
    <n v="25.795000000000002"/>
  </r>
  <r>
    <s v="L1210"/>
    <x v="8"/>
    <s v="Zilker"/>
    <n v="533"/>
    <s v="Oak Ave"/>
    <x v="2"/>
    <n v="1"/>
    <n v="1914"/>
    <x v="210"/>
    <x v="201"/>
    <n v="443.57"/>
    <x v="1"/>
    <x v="198"/>
    <s v="Single Family"/>
    <x v="0"/>
    <s v="Tenant-Occupied"/>
    <n v="30"/>
    <n v="477724.89"/>
    <n v="-97.811999999999998"/>
    <n v="30.254000000000001"/>
  </r>
  <r>
    <s v="L1211"/>
    <x v="3"/>
    <s v="Astoria"/>
    <n v="109"/>
    <s v="Maple Rd"/>
    <x v="1"/>
    <n v="2"/>
    <n v="1962"/>
    <x v="211"/>
    <x v="202"/>
    <n v="499.37"/>
    <x v="2"/>
    <x v="199"/>
    <s v="Single Family"/>
    <x v="0"/>
    <s v="Recently Renovated Kitchen"/>
    <n v="14"/>
    <n v="845433.41"/>
    <n v="-74.099000000000004"/>
    <n v="40.700000000000003"/>
  </r>
  <r>
    <s v="L1212"/>
    <x v="8"/>
    <s v="South Congress"/>
    <n v="678"/>
    <s v="Main St"/>
    <x v="4"/>
    <n v="3"/>
    <n v="1964"/>
    <x v="212"/>
    <x v="203"/>
    <n v="547.77"/>
    <x v="1"/>
    <x v="200"/>
    <s v="Multi-Family"/>
    <x v="0"/>
    <s v="Unkown "/>
    <n v="3"/>
    <s v="OUTLIER"/>
    <n v="-97.742000000000004"/>
    <n v="30.338000000000001"/>
  </r>
  <r>
    <s v="L1213"/>
    <x v="9"/>
    <s v="Lakeview"/>
    <n v="215"/>
    <s v="Pine St"/>
    <x v="2"/>
    <n v="1"/>
    <n v="1968"/>
    <x v="213"/>
    <x v="204"/>
    <n v="396.08"/>
    <x v="2"/>
    <x v="201"/>
    <s v="Multi-Family"/>
    <x v="0"/>
    <s v="Vacant"/>
    <n v="85"/>
    <n v="465790.07999999996"/>
    <n v="-87.620999999999995"/>
    <n v="41.935000000000002"/>
  </r>
  <r>
    <s v="L1214"/>
    <x v="0"/>
    <s v="Richmond"/>
    <n v="869"/>
    <s v="Oak Ave"/>
    <x v="3"/>
    <n v="4"/>
    <n v="1946"/>
    <x v="214"/>
    <x v="205"/>
    <n v="515.89"/>
    <x v="3"/>
    <x v="202"/>
    <s v="Multi-Family"/>
    <x v="0"/>
    <s v="New Hvac"/>
    <n v="27"/>
    <s v="OUTLIER"/>
    <n v="-122.41"/>
    <n v="37.868000000000002"/>
  </r>
  <r>
    <s v="L1215"/>
    <x v="4"/>
    <s v="Back Bay"/>
    <n v="805"/>
    <s v="1St Ave"/>
    <x v="4"/>
    <n v="4"/>
    <n v="2010"/>
    <x v="215"/>
    <x v="206"/>
    <n v="465.87"/>
    <x v="1"/>
    <x v="203"/>
    <s v="Condo"/>
    <x v="1"/>
    <s v="Vacant"/>
    <n v="33"/>
    <n v="1086408.8400000001"/>
    <n v="-70.998000000000005"/>
    <n v="42.307000000000002"/>
  </r>
  <r>
    <s v="L1216"/>
    <x v="7"/>
    <s v="Beverly Hills"/>
    <n v="431"/>
    <s v="1St Ave"/>
    <x v="1"/>
    <n v="1"/>
    <n v="2000"/>
    <x v="216"/>
    <x v="207"/>
    <n v="604.29"/>
    <x v="5"/>
    <x v="204"/>
    <s v="Condo"/>
    <x v="0"/>
    <s v="Needs Roof Repair"/>
    <n v="90"/>
    <n v="1052673.18"/>
    <n v="-118.221"/>
    <n v="34.055999999999997"/>
  </r>
  <r>
    <s v="L1217"/>
    <x v="4"/>
    <s v="Allston"/>
    <n v="818"/>
    <s v="Oak Ave"/>
    <x v="0"/>
    <n v="2"/>
    <n v="1965"/>
    <x v="217"/>
    <x v="208"/>
    <n v="513.22"/>
    <x v="2"/>
    <x v="205"/>
    <s v="Multi-Family"/>
    <x v="1"/>
    <s v="Needs Roof Repair"/>
    <n v="1"/>
    <s v="OUTLIER"/>
    <n v="-70.986999999999995"/>
    <n v="42.457999999999998"/>
  </r>
  <r>
    <s v="L1218"/>
    <x v="9"/>
    <s v="Wicker Park"/>
    <n v="177"/>
    <s v="Main St"/>
    <x v="0"/>
    <n v="2"/>
    <n v="1997"/>
    <x v="218"/>
    <x v="209"/>
    <n v="514.09"/>
    <x v="4"/>
    <x v="206"/>
    <s v="Single Family"/>
    <x v="0"/>
    <s v="Tenant-Occupied"/>
    <n v="35"/>
    <s v="OUTLIER"/>
    <n v="-87.637"/>
    <n v="41.834000000000003"/>
  </r>
  <r>
    <s v="L1219"/>
    <x v="5"/>
    <s v="Little Havana"/>
    <n v="195"/>
    <s v="Maple Rd"/>
    <x v="0"/>
    <n v="2"/>
    <n v="2012"/>
    <x v="219"/>
    <x v="210"/>
    <n v="580"/>
    <x v="4"/>
    <x v="207"/>
    <s v="Multi-Family"/>
    <x v="0"/>
    <s v="New Hvac"/>
    <n v="30"/>
    <s v="OUTLIER"/>
    <n v="-80.135000000000005"/>
    <n v="25.66"/>
  </r>
  <r>
    <s v="L1220"/>
    <x v="2"/>
    <s v="Lodo"/>
    <n v="679"/>
    <s v="Maple Rd"/>
    <x v="3"/>
    <n v="5"/>
    <n v="1954"/>
    <x v="220"/>
    <x v="211"/>
    <n v="625.61"/>
    <x v="4"/>
    <x v="208"/>
    <s v="Townhouse"/>
    <x v="0"/>
    <s v="Needs Roof Repair"/>
    <n v="34"/>
    <s v="OUTLIER"/>
    <n v="-104.98099999999999"/>
    <n v="39.697000000000003"/>
  </r>
  <r>
    <s v="L1221"/>
    <x v="2"/>
    <s v="Lodo"/>
    <n v="307"/>
    <s v="Oak Ave"/>
    <x v="2"/>
    <n v="1"/>
    <n v="2000"/>
    <x v="221"/>
    <x v="8"/>
    <n v="428.42"/>
    <x v="3"/>
    <x v="209"/>
    <s v="Condo"/>
    <x v="1"/>
    <s v="Tenant-Occupied"/>
    <n v="38"/>
    <n v="584364.88"/>
    <n v="-104.999"/>
    <n v="39.671999999999997"/>
  </r>
  <r>
    <s v="L1222"/>
    <x v="4"/>
    <s v="South End"/>
    <n v="412"/>
    <s v="Oak Ave"/>
    <x v="0"/>
    <n v="3"/>
    <n v="1946"/>
    <x v="222"/>
    <x v="212"/>
    <n v="588.24"/>
    <x v="3"/>
    <x v="210"/>
    <s v="Townhouse"/>
    <x v="0"/>
    <s v="New Hvac"/>
    <n v="44"/>
    <s v="OUTLIER"/>
    <n v="-71.150000000000006"/>
    <n v="42.39"/>
  </r>
  <r>
    <s v="L1223"/>
    <x v="5"/>
    <s v="Wynwood"/>
    <n v="451"/>
    <s v="Main St"/>
    <x v="2"/>
    <n v="1"/>
    <n v="1961"/>
    <x v="223"/>
    <x v="213"/>
    <n v="511.6"/>
    <x v="2"/>
    <x v="211"/>
    <s v="Loft"/>
    <x v="2"/>
    <s v="New Hvac"/>
    <n v="27"/>
    <n v="907066.8"/>
    <n v="-80.287999999999997"/>
    <n v="25.795999999999999"/>
  </r>
  <r>
    <s v="L1224"/>
    <x v="5"/>
    <s v="South Beach"/>
    <n v="756"/>
    <s v="Oak Ave"/>
    <x v="4"/>
    <n v="4"/>
    <n v="1949"/>
    <x v="224"/>
    <x v="214"/>
    <n v="598.89"/>
    <x v="2"/>
    <x v="212"/>
    <s v="Condo"/>
    <x v="0"/>
    <s v="Needs Roof Repair"/>
    <n v="7"/>
    <s v="OUTLIER"/>
    <n v="-80.263000000000005"/>
    <n v="25.835999999999999"/>
  </r>
  <r>
    <s v="L1225"/>
    <x v="0"/>
    <s v="Nob Hill"/>
    <n v="730"/>
    <s v="Maple Rd"/>
    <x v="3"/>
    <n v="5"/>
    <n v="1983"/>
    <x v="225"/>
    <x v="215"/>
    <n v="522.30999999999995"/>
    <x v="1"/>
    <x v="213"/>
    <s v="Townhouse"/>
    <x v="1"/>
    <s v="Tenant-Occupied"/>
    <n v="87"/>
    <s v="OUTLIER"/>
    <n v="-122.4"/>
    <n v="37.795999999999999"/>
  </r>
  <r>
    <s v="L1226"/>
    <x v="9"/>
    <s v="Lincoln Park"/>
    <n v="760"/>
    <s v="Main St"/>
    <x v="2"/>
    <n v="1"/>
    <n v="1915"/>
    <x v="226"/>
    <x v="216"/>
    <n v="471.75"/>
    <x v="1"/>
    <x v="214"/>
    <s v="Townhouse"/>
    <x v="3"/>
    <s v="Recently Renovated Kitchen"/>
    <n v="56"/>
    <n v="818014.5"/>
    <n v="-87.691999999999993"/>
    <n v="41.843000000000004"/>
  </r>
  <r>
    <s v="L1227"/>
    <x v="9"/>
    <s v="West Loop"/>
    <n v="402"/>
    <s v="Main St"/>
    <x v="3"/>
    <n v="4"/>
    <n v="1977"/>
    <x v="227"/>
    <x v="217"/>
    <n v="588.45000000000005"/>
    <x v="3"/>
    <x v="215"/>
    <s v="Townhouse"/>
    <x v="2"/>
    <s v="Tenant-Occupied"/>
    <n v="49"/>
    <s v="OUTLIER"/>
    <n v="-87.682000000000002"/>
    <n v="41.901000000000003"/>
  </r>
  <r>
    <s v="L1228"/>
    <x v="9"/>
    <s v="Gold Coast"/>
    <n v="235"/>
    <s v="Maple Rd"/>
    <x v="4"/>
    <n v="4"/>
    <n v="1963"/>
    <x v="228"/>
    <x v="210"/>
    <n v="598.04"/>
    <x v="3"/>
    <x v="216"/>
    <s v="Loft"/>
    <x v="1"/>
    <s v="Recently Renovated Kitchen"/>
    <n v="27"/>
    <s v="OUTLIER"/>
    <n v="-87.647999999999996"/>
    <n v="41.781999999999996"/>
  </r>
  <r>
    <s v="L1229"/>
    <x v="7"/>
    <s v="Beverly Hills"/>
    <n v="908"/>
    <s v="Maple Rd"/>
    <x v="0"/>
    <n v="3"/>
    <n v="1922"/>
    <x v="229"/>
    <x v="218"/>
    <n v="663.42"/>
    <x v="3"/>
    <x v="217"/>
    <s v="Condo"/>
    <x v="0"/>
    <s v="Unkown "/>
    <n v="48"/>
    <s v="OUTLIER"/>
    <n v="-118.297"/>
    <n v="33.953000000000003"/>
  </r>
  <r>
    <s v="L1230"/>
    <x v="6"/>
    <s v="Nob Hill"/>
    <n v="623"/>
    <s v="Oak Ave"/>
    <x v="3"/>
    <n v="4"/>
    <n v="1954"/>
    <x v="230"/>
    <x v="219"/>
    <n v="758.44"/>
    <x v="3"/>
    <x v="210"/>
    <s v="Loft"/>
    <x v="0"/>
    <s v="Unkown "/>
    <n v="2"/>
    <s v="OUTLIER"/>
    <n v="-122.76300000000001"/>
    <n v="45.451000000000001"/>
  </r>
  <r>
    <s v="L1231"/>
    <x v="8"/>
    <s v="Hyde Park"/>
    <n v="544"/>
    <s v="Main St"/>
    <x v="0"/>
    <n v="3"/>
    <n v="1981"/>
    <x v="231"/>
    <x v="220"/>
    <n v="507.05"/>
    <x v="6"/>
    <x v="218"/>
    <s v="Multi-Family"/>
    <x v="1"/>
    <s v="Unkown "/>
    <n v="25"/>
    <n v="1142890.7"/>
    <n v="-97.828000000000003"/>
    <n v="30.338999999999999"/>
  </r>
  <r>
    <s v="L1232"/>
    <x v="3"/>
    <s v="Astoria"/>
    <n v="635"/>
    <s v="Pine St"/>
    <x v="3"/>
    <n v="5"/>
    <n v="1985"/>
    <x v="232"/>
    <x v="221"/>
    <n v="636.95000000000005"/>
    <x v="2"/>
    <x v="219"/>
    <s v="Condo"/>
    <x v="1"/>
    <s v="Recently Renovated Kitchen"/>
    <n v="62"/>
    <s v="OUTLIER"/>
    <n v="-74.076999999999998"/>
    <n v="40.75"/>
  </r>
  <r>
    <s v="L1233"/>
    <x v="4"/>
    <s v="South End"/>
    <n v="829"/>
    <s v="Pine St"/>
    <x v="0"/>
    <n v="3"/>
    <n v="1999"/>
    <x v="233"/>
    <x v="222"/>
    <n v="507.84"/>
    <x v="2"/>
    <x v="220"/>
    <s v="Condo"/>
    <x v="0"/>
    <s v="Recently Renovated Kitchen"/>
    <n v="66"/>
    <n v="1043103.36"/>
    <n v="-71.055000000000007"/>
    <n v="42.345999999999997"/>
  </r>
  <r>
    <s v="L1234"/>
    <x v="0"/>
    <s v="Soma"/>
    <n v="790"/>
    <s v="Main St"/>
    <x v="4"/>
    <n v="4"/>
    <n v="1907"/>
    <x v="234"/>
    <x v="0"/>
    <n v="469.73"/>
    <x v="0"/>
    <x v="221"/>
    <s v="Single Family"/>
    <x v="0"/>
    <s v="Vacant"/>
    <n v="11"/>
    <n v="1044679.52"/>
    <n v="-122.40900000000001"/>
    <n v="37.720999999999997"/>
  </r>
  <r>
    <s v="L1235"/>
    <x v="9"/>
    <s v="West Loop"/>
    <n v="666"/>
    <s v="Maple Rd"/>
    <x v="2"/>
    <n v="1"/>
    <n v="2010"/>
    <x v="235"/>
    <x v="223"/>
    <n v="347.38"/>
    <x v="5"/>
    <x v="222"/>
    <s v="Condo"/>
    <x v="0"/>
    <s v="Unkown "/>
    <n v="87"/>
    <n v="573871.76"/>
    <n v="-87.69"/>
    <n v="41.856999999999999"/>
  </r>
  <r>
    <s v="L1236"/>
    <x v="9"/>
    <s v="Lakeview"/>
    <n v="283"/>
    <s v="Oak Ave"/>
    <x v="1"/>
    <n v="2"/>
    <n v="1992"/>
    <x v="236"/>
    <x v="224"/>
    <n v="528.76"/>
    <x v="6"/>
    <x v="223"/>
    <s v="Condo"/>
    <x v="0"/>
    <s v="Unkown "/>
    <n v="41"/>
    <n v="676812.80000000005"/>
    <n v="-87.584999999999994"/>
    <n v="41.804000000000002"/>
  </r>
  <r>
    <s v="L1237"/>
    <x v="6"/>
    <s v="Pearl District"/>
    <n v="677"/>
    <s v="1St Ave"/>
    <x v="4"/>
    <n v="4"/>
    <n v="1959"/>
    <x v="237"/>
    <x v="225"/>
    <n v="637.37"/>
    <x v="6"/>
    <x v="224"/>
    <s v="Townhouse"/>
    <x v="2"/>
    <s v="Recently Renovated Kitchen"/>
    <n v="46"/>
    <s v="OUTLIER"/>
    <n v="-122.706"/>
    <n v="45.511000000000003"/>
  </r>
  <r>
    <s v="L1238"/>
    <x v="7"/>
    <s v="Silver Lake"/>
    <n v="454"/>
    <s v="Main St"/>
    <x v="4"/>
    <n v="4"/>
    <n v="1963"/>
    <x v="238"/>
    <x v="226"/>
    <n v="720.99"/>
    <x v="0"/>
    <x v="225"/>
    <s v="Single Family"/>
    <x v="2"/>
    <s v="Vacant"/>
    <n v="38"/>
    <s v="OUTLIER"/>
    <n v="-118.33499999999999"/>
    <n v="34.136000000000003"/>
  </r>
  <r>
    <s v="L1239"/>
    <x v="2"/>
    <s v="Lodo"/>
    <n v="245"/>
    <s v="1St Ave"/>
    <x v="4"/>
    <n v="3"/>
    <n v="1993"/>
    <x v="239"/>
    <x v="227"/>
    <n v="585.05999999999995"/>
    <x v="2"/>
    <x v="226"/>
    <s v="Single Family"/>
    <x v="0"/>
    <s v="Unkown "/>
    <n v="33"/>
    <s v="OUTLIER"/>
    <n v="-104.992"/>
    <n v="39.688000000000002"/>
  </r>
  <r>
    <s v="L1240"/>
    <x v="0"/>
    <s v="Mission"/>
    <n v="752"/>
    <s v="Maple Rd"/>
    <x v="1"/>
    <n v="1"/>
    <n v="1966"/>
    <x v="240"/>
    <x v="98"/>
    <n v="355.77"/>
    <x v="1"/>
    <x v="227"/>
    <s v="Multi-Family"/>
    <x v="3"/>
    <s v="Needs Roof Repair"/>
    <n v="5"/>
    <n v="667780.28999999992"/>
    <n v="-122.411"/>
    <n v="37.686999999999998"/>
  </r>
  <r>
    <s v="L1241"/>
    <x v="0"/>
    <s v="Nob Hill"/>
    <n v="951"/>
    <s v="1St Ave"/>
    <x v="3"/>
    <n v="5"/>
    <n v="1984"/>
    <x v="241"/>
    <x v="228"/>
    <n v="573.04"/>
    <x v="5"/>
    <x v="228"/>
    <s v="Townhouse"/>
    <x v="0"/>
    <s v="New Hvac"/>
    <n v="29"/>
    <s v="OUTLIER"/>
    <n v="-122.27"/>
    <n v="37.732999999999997"/>
  </r>
  <r>
    <s v="L1242"/>
    <x v="2"/>
    <s v="Cherry Creek"/>
    <n v="516"/>
    <s v="Main St"/>
    <x v="0"/>
    <n v="3"/>
    <n v="2020"/>
    <x v="242"/>
    <x v="229"/>
    <n v="560.80999999999995"/>
    <x v="2"/>
    <x v="229"/>
    <s v="Loft"/>
    <x v="2"/>
    <s v="Recently Renovated Kitchen"/>
    <n v="18"/>
    <s v="OUTLIER"/>
    <n v="-105"/>
    <n v="39.661000000000001"/>
  </r>
  <r>
    <s v="L1243"/>
    <x v="6"/>
    <s v="Nob Hill"/>
    <n v="717"/>
    <s v="Main St"/>
    <x v="1"/>
    <n v="2"/>
    <n v="1959"/>
    <x v="243"/>
    <x v="230"/>
    <n v="566.36"/>
    <x v="2"/>
    <x v="230"/>
    <s v="Condo"/>
    <x v="2"/>
    <s v="New Hvac"/>
    <n v="5"/>
    <n v="909007.8"/>
    <n v="-122.61499999999999"/>
    <n v="45.557000000000002"/>
  </r>
  <r>
    <s v="L1244"/>
    <x v="9"/>
    <s v="Lakeview"/>
    <n v="131"/>
    <s v="Maple Rd"/>
    <x v="1"/>
    <n v="2"/>
    <n v="1931"/>
    <x v="244"/>
    <x v="79"/>
    <n v="393.74"/>
    <x v="1"/>
    <x v="231"/>
    <s v="Loft"/>
    <x v="2"/>
    <s v="Needs Roof Repair"/>
    <n v="65"/>
    <n v="748893.48"/>
    <n v="-87.555999999999997"/>
    <n v="41.84"/>
  </r>
  <r>
    <s v="L1245"/>
    <x v="3"/>
    <s v="Astoria"/>
    <n v="302"/>
    <s v="Maple Rd"/>
    <x v="3"/>
    <n v="5"/>
    <n v="1959"/>
    <x v="245"/>
    <x v="198"/>
    <n v="695.27"/>
    <x v="2"/>
    <x v="138"/>
    <s v="Condo"/>
    <x v="2"/>
    <s v="Needs Roof Repair"/>
    <n v="64"/>
    <s v="OUTLIER"/>
    <n v="-73.912999999999997"/>
    <n v="40.776000000000003"/>
  </r>
  <r>
    <s v="L1246"/>
    <x v="2"/>
    <s v="Lodo"/>
    <n v="967"/>
    <s v="1St Ave"/>
    <x v="3"/>
    <n v="5"/>
    <n v="2017"/>
    <x v="246"/>
    <x v="231"/>
    <n v="686.16"/>
    <x v="3"/>
    <x v="232"/>
    <s v="Condo"/>
    <x v="2"/>
    <s v="Unkown "/>
    <n v="20"/>
    <s v="OUTLIER"/>
    <n v="-104.928"/>
    <n v="39.768999999999998"/>
  </r>
  <r>
    <s v="L1247"/>
    <x v="0"/>
    <s v="Mission"/>
    <n v="319"/>
    <s v="Oak Ave"/>
    <x v="4"/>
    <n v="4"/>
    <n v="2018"/>
    <x v="247"/>
    <x v="232"/>
    <n v="503.47"/>
    <x v="1"/>
    <x v="233"/>
    <s v="Multi-Family"/>
    <x v="0"/>
    <s v="Recently Renovated Kitchen"/>
    <n v="35"/>
    <n v="1047217.6000000001"/>
    <n v="-122.345"/>
    <n v="37.747"/>
  </r>
  <r>
    <s v="L1248"/>
    <x v="4"/>
    <s v="Cambridge"/>
    <n v="492"/>
    <s v="Oak Ave"/>
    <x v="4"/>
    <n v="3"/>
    <n v="1904"/>
    <x v="248"/>
    <x v="233"/>
    <n v="549.46"/>
    <x v="1"/>
    <x v="233"/>
    <s v="Multi-Family"/>
    <x v="0"/>
    <s v="Recently Renovated Kitchen"/>
    <n v="40"/>
    <s v="OUTLIER"/>
    <n v="-71.147999999999996"/>
    <n v="42.37"/>
  </r>
  <r>
    <s v="L1249"/>
    <x v="5"/>
    <s v="South Beach"/>
    <n v="452"/>
    <s v="Pine St"/>
    <x v="3"/>
    <n v="3"/>
    <n v="2002"/>
    <x v="249"/>
    <x v="154"/>
    <n v="652.22"/>
    <x v="3"/>
    <x v="234"/>
    <s v="Multi-Family"/>
    <x v="1"/>
    <s v="Tenant-Occupied"/>
    <n v="7"/>
    <s v="OUTLIER"/>
    <n v="-80.180999999999997"/>
    <n v="25.731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ECD663-E340-4321-8318-3437C7A3D0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showAll="0"/>
    <pivotField axis="axisRow" showAll="0">
      <items count="11">
        <item x="8"/>
        <item x="4"/>
        <item x="9"/>
        <item x="2"/>
        <item x="7"/>
        <item x="5"/>
        <item x="3"/>
        <item x="6"/>
        <item x="0"/>
        <item x="1"/>
        <item t="default"/>
      </items>
    </pivotField>
    <pivotField showAll="0"/>
    <pivotField showAll="0"/>
    <pivotField showAll="0"/>
    <pivotField showAll="0">
      <items count="6">
        <item x="2"/>
        <item x="1"/>
        <item x="0"/>
        <item x="4"/>
        <item x="3"/>
        <item t="default"/>
      </items>
    </pivotField>
    <pivotField showAll="0"/>
    <pivotField showAll="0"/>
    <pivotField showAll="0"/>
    <pivotField showAll="0"/>
    <pivotField dataField="1" showAll="0"/>
    <pivotField showAll="0"/>
    <pivotField numFmtId="14"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Price_per_sqf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0B147F-5FF0-4170-93A6-78F3E721FF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ity">
  <location ref="A3:B14" firstHeaderRow="1" firstDataRow="1" firstDataCol="1"/>
  <pivotFields count="20">
    <pivotField showAll="0"/>
    <pivotField axis="axisRow" showAll="0" sortType="descending">
      <items count="11">
        <item x="8"/>
        <item x="4"/>
        <item x="9"/>
        <item x="2"/>
        <item x="7"/>
        <item x="5"/>
        <item x="3"/>
        <item x="6"/>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1"/>
        <item x="0"/>
        <item x="4"/>
        <item x="3"/>
        <item t="default"/>
      </items>
    </pivotField>
    <pivotField showAll="0"/>
    <pivotField showAll="0"/>
    <pivotField dataField="1" showAll="0"/>
    <pivotField showAll="0"/>
    <pivotField showAll="0"/>
    <pivotField showAll="0">
      <items count="8">
        <item x="3"/>
        <item x="2"/>
        <item x="5"/>
        <item x="6"/>
        <item x="1"/>
        <item x="4"/>
        <item x="0"/>
        <item t="default"/>
      </items>
    </pivotField>
    <pivotField numFmtId="14" showAll="0">
      <items count="236">
        <item x="160"/>
        <item x="173"/>
        <item x="22"/>
        <item x="17"/>
        <item x="168"/>
        <item x="209"/>
        <item x="234"/>
        <item x="232"/>
        <item x="81"/>
        <item x="215"/>
        <item x="66"/>
        <item x="149"/>
        <item x="48"/>
        <item x="202"/>
        <item x="70"/>
        <item x="44"/>
        <item x="93"/>
        <item x="87"/>
        <item x="157"/>
        <item x="153"/>
        <item x="56"/>
        <item x="6"/>
        <item x="117"/>
        <item x="216"/>
        <item x="99"/>
        <item x="217"/>
        <item x="120"/>
        <item x="72"/>
        <item x="89"/>
        <item x="181"/>
        <item x="210"/>
        <item x="35"/>
        <item x="192"/>
        <item x="25"/>
        <item x="83"/>
        <item x="58"/>
        <item x="71"/>
        <item x="4"/>
        <item x="2"/>
        <item x="212"/>
        <item x="226"/>
        <item x="37"/>
        <item x="26"/>
        <item x="161"/>
        <item x="124"/>
        <item x="220"/>
        <item x="219"/>
        <item x="230"/>
        <item x="13"/>
        <item x="129"/>
        <item x="55"/>
        <item x="106"/>
        <item x="86"/>
        <item x="211"/>
        <item x="166"/>
        <item x="205"/>
        <item x="229"/>
        <item x="68"/>
        <item x="113"/>
        <item x="138"/>
        <item x="199"/>
        <item x="69"/>
        <item x="60"/>
        <item x="8"/>
        <item x="126"/>
        <item x="5"/>
        <item x="43"/>
        <item x="121"/>
        <item x="201"/>
        <item x="172"/>
        <item x="184"/>
        <item x="151"/>
        <item x="28"/>
        <item x="175"/>
        <item x="50"/>
        <item x="15"/>
        <item x="141"/>
        <item x="53"/>
        <item x="109"/>
        <item x="32"/>
        <item x="137"/>
        <item x="125"/>
        <item x="204"/>
        <item x="29"/>
        <item x="73"/>
        <item x="112"/>
        <item x="228"/>
        <item x="163"/>
        <item x="114"/>
        <item x="11"/>
        <item x="133"/>
        <item x="146"/>
        <item x="222"/>
        <item x="162"/>
        <item x="185"/>
        <item x="152"/>
        <item x="16"/>
        <item x="188"/>
        <item x="79"/>
        <item x="39"/>
        <item x="24"/>
        <item x="12"/>
        <item x="223"/>
        <item x="96"/>
        <item x="61"/>
        <item x="130"/>
        <item x="94"/>
        <item x="54"/>
        <item x="144"/>
        <item x="98"/>
        <item x="187"/>
        <item x="33"/>
        <item x="34"/>
        <item x="82"/>
        <item x="52"/>
        <item x="218"/>
        <item x="224"/>
        <item x="128"/>
        <item x="193"/>
        <item x="49"/>
        <item x="134"/>
        <item x="14"/>
        <item x="186"/>
        <item x="40"/>
        <item x="95"/>
        <item x="31"/>
        <item x="145"/>
        <item x="45"/>
        <item x="30"/>
        <item x="77"/>
        <item x="74"/>
        <item x="182"/>
        <item x="65"/>
        <item x="107"/>
        <item x="27"/>
        <item x="78"/>
        <item x="80"/>
        <item x="23"/>
        <item x="227"/>
        <item x="198"/>
        <item x="171"/>
        <item x="169"/>
        <item x="214"/>
        <item x="42"/>
        <item x="231"/>
        <item x="178"/>
        <item x="51"/>
        <item x="200"/>
        <item x="170"/>
        <item x="41"/>
        <item x="1"/>
        <item x="164"/>
        <item x="195"/>
        <item x="92"/>
        <item x="233"/>
        <item x="63"/>
        <item x="119"/>
        <item x="108"/>
        <item x="203"/>
        <item x="213"/>
        <item x="159"/>
        <item x="101"/>
        <item x="111"/>
        <item x="104"/>
        <item x="91"/>
        <item x="207"/>
        <item x="18"/>
        <item x="135"/>
        <item x="196"/>
        <item x="197"/>
        <item x="103"/>
        <item x="132"/>
        <item x="118"/>
        <item x="127"/>
        <item x="150"/>
        <item x="59"/>
        <item x="177"/>
        <item x="154"/>
        <item x="97"/>
        <item x="174"/>
        <item x="206"/>
        <item x="180"/>
        <item x="208"/>
        <item x="75"/>
        <item x="131"/>
        <item x="67"/>
        <item x="179"/>
        <item x="10"/>
        <item x="122"/>
        <item x="156"/>
        <item x="88"/>
        <item x="100"/>
        <item x="155"/>
        <item x="116"/>
        <item x="9"/>
        <item x="165"/>
        <item x="7"/>
        <item x="158"/>
        <item x="19"/>
        <item x="189"/>
        <item x="84"/>
        <item x="0"/>
        <item x="225"/>
        <item x="136"/>
        <item x="64"/>
        <item x="147"/>
        <item x="3"/>
        <item x="38"/>
        <item x="194"/>
        <item x="142"/>
        <item x="139"/>
        <item x="190"/>
        <item x="46"/>
        <item x="85"/>
        <item x="176"/>
        <item x="21"/>
        <item x="221"/>
        <item x="148"/>
        <item x="115"/>
        <item x="191"/>
        <item x="47"/>
        <item x="140"/>
        <item x="62"/>
        <item x="76"/>
        <item x="102"/>
        <item x="20"/>
        <item x="183"/>
        <item x="167"/>
        <item x="110"/>
        <item x="123"/>
        <item x="90"/>
        <item x="57"/>
        <item x="105"/>
        <item x="143"/>
        <item x="36"/>
        <item t="default"/>
      </items>
    </pivotField>
    <pivotField showAll="0"/>
    <pivotField showAll="0">
      <items count="5">
        <item x="2"/>
        <item x="1"/>
        <item x="0"/>
        <item x="3"/>
        <item t="default"/>
      </items>
    </pivotField>
    <pivotField showAll="0"/>
    <pivotField showAll="0"/>
    <pivotField showAll="0"/>
    <pivotField showAll="0"/>
    <pivotField showAll="0"/>
  </pivotFields>
  <rowFields count="1">
    <field x="1"/>
  </rowFields>
  <rowItems count="11">
    <i>
      <x v="6"/>
    </i>
    <i>
      <x v="7"/>
    </i>
    <i>
      <x v="4"/>
    </i>
    <i>
      <x v="3"/>
    </i>
    <i>
      <x v="5"/>
    </i>
    <i>
      <x v="8"/>
    </i>
    <i>
      <x v="1"/>
    </i>
    <i>
      <x v="2"/>
    </i>
    <i>
      <x v="9"/>
    </i>
    <i>
      <x/>
    </i>
    <i t="grand">
      <x/>
    </i>
  </rowItems>
  <colItems count="1">
    <i/>
  </colItems>
  <dataFields count="1">
    <dataField name="Average Price" fld="8" subtotal="average" baseField="1" baseItem="3"/>
  </dataFields>
  <chartFormats count="3">
    <chartFormat chart="2" format="1" series="1">
      <pivotArea type="data" outline="0" fieldPosition="0">
        <references count="1">
          <reference field="4294967294" count="1" selected="0">
            <x v="0"/>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1"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F2867B-2F90-4D53-9166-5FEA21E63A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2:B33" firstHeaderRow="1" firstDataRow="1" firstDataCol="1"/>
  <pivotFields count="20">
    <pivotField showAll="0"/>
    <pivotField axis="axisRow" showAll="0" sortType="descending">
      <items count="11">
        <item x="8"/>
        <item x="4"/>
        <item x="9"/>
        <item x="2"/>
        <item x="7"/>
        <item x="5"/>
        <item x="3"/>
        <item x="6"/>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1"/>
        <item x="0"/>
        <item x="4"/>
        <item x="3"/>
        <item t="default"/>
      </items>
    </pivotField>
    <pivotField showAll="0"/>
    <pivotField showAll="0"/>
    <pivotField showAll="0"/>
    <pivotField showAll="0">
      <items count="235">
        <item x="153"/>
        <item x="94"/>
        <item x="201"/>
        <item x="62"/>
        <item x="67"/>
        <item x="49"/>
        <item x="204"/>
        <item x="11"/>
        <item x="107"/>
        <item x="6"/>
        <item x="127"/>
        <item x="224"/>
        <item x="121"/>
        <item x="75"/>
        <item x="110"/>
        <item x="162"/>
        <item x="176"/>
        <item x="112"/>
        <item x="139"/>
        <item x="8"/>
        <item x="152"/>
        <item x="170"/>
        <item x="178"/>
        <item x="140"/>
        <item x="56"/>
        <item x="151"/>
        <item x="14"/>
        <item x="148"/>
        <item x="86"/>
        <item x="131"/>
        <item x="104"/>
        <item x="39"/>
        <item x="141"/>
        <item x="113"/>
        <item x="195"/>
        <item x="32"/>
        <item x="29"/>
        <item x="134"/>
        <item x="28"/>
        <item x="230"/>
        <item x="71"/>
        <item x="61"/>
        <item x="15"/>
        <item x="118"/>
        <item x="3"/>
        <item x="171"/>
        <item x="158"/>
        <item x="10"/>
        <item x="223"/>
        <item x="59"/>
        <item x="186"/>
        <item x="142"/>
        <item x="202"/>
        <item x="40"/>
        <item x="172"/>
        <item x="103"/>
        <item x="216"/>
        <item x="207"/>
        <item x="137"/>
        <item x="7"/>
        <item x="74"/>
        <item x="213"/>
        <item x="185"/>
        <item x="37"/>
        <item x="149"/>
        <item x="182"/>
        <item x="47"/>
        <item x="135"/>
        <item x="12"/>
        <item x="138"/>
        <item x="89"/>
        <item x="36"/>
        <item x="58"/>
        <item x="98"/>
        <item x="27"/>
        <item x="111"/>
        <item x="57"/>
        <item x="93"/>
        <item x="79"/>
        <item x="193"/>
        <item x="122"/>
        <item x="125"/>
        <item x="85"/>
        <item x="60"/>
        <item x="150"/>
        <item x="147"/>
        <item x="160"/>
        <item x="23"/>
        <item x="169"/>
        <item x="124"/>
        <item x="100"/>
        <item x="70"/>
        <item x="129"/>
        <item x="96"/>
        <item x="46"/>
        <item x="218"/>
        <item x="34"/>
        <item x="31"/>
        <item x="19"/>
        <item x="212"/>
        <item x="33"/>
        <item x="183"/>
        <item x="41"/>
        <item x="222"/>
        <item x="18"/>
        <item x="144"/>
        <item x="232"/>
        <item x="22"/>
        <item x="24"/>
        <item x="210"/>
        <item x="116"/>
        <item x="181"/>
        <item x="229"/>
        <item x="130"/>
        <item x="133"/>
        <item x="72"/>
        <item x="30"/>
        <item x="196"/>
        <item x="44"/>
        <item x="78"/>
        <item x="13"/>
        <item x="157"/>
        <item x="42"/>
        <item x="184"/>
        <item x="4"/>
        <item x="95"/>
        <item x="165"/>
        <item x="1"/>
        <item x="163"/>
        <item x="99"/>
        <item x="2"/>
        <item x="82"/>
        <item x="0"/>
        <item x="220"/>
        <item x="53"/>
        <item x="43"/>
        <item x="161"/>
        <item x="81"/>
        <item x="92"/>
        <item x="25"/>
        <item x="173"/>
        <item x="214"/>
        <item x="159"/>
        <item x="117"/>
        <item x="206"/>
        <item x="77"/>
        <item x="88"/>
        <item x="123"/>
        <item x="38"/>
        <item x="156"/>
        <item x="200"/>
        <item x="225"/>
        <item x="208"/>
        <item x="54"/>
        <item x="226"/>
        <item x="177"/>
        <item x="109"/>
        <item x="21"/>
        <item x="90"/>
        <item x="65"/>
        <item x="217"/>
        <item x="132"/>
        <item x="227"/>
        <item x="63"/>
        <item x="190"/>
        <item x="51"/>
        <item x="174"/>
        <item x="50"/>
        <item x="145"/>
        <item x="155"/>
        <item x="105"/>
        <item x="16"/>
        <item x="64"/>
        <item x="179"/>
        <item x="215"/>
        <item x="154"/>
        <item x="114"/>
        <item x="68"/>
        <item x="233"/>
        <item x="168"/>
        <item x="66"/>
        <item x="175"/>
        <item x="106"/>
        <item x="211"/>
        <item x="128"/>
        <item x="5"/>
        <item x="126"/>
        <item x="84"/>
        <item x="20"/>
        <item x="191"/>
        <item x="17"/>
        <item x="203"/>
        <item x="188"/>
        <item x="219"/>
        <item x="205"/>
        <item x="87"/>
        <item x="102"/>
        <item x="189"/>
        <item x="146"/>
        <item x="143"/>
        <item x="26"/>
        <item x="209"/>
        <item x="91"/>
        <item x="76"/>
        <item x="120"/>
        <item x="187"/>
        <item x="48"/>
        <item x="164"/>
        <item x="115"/>
        <item x="221"/>
        <item x="45"/>
        <item x="97"/>
        <item x="9"/>
        <item x="119"/>
        <item x="35"/>
        <item x="55"/>
        <item x="198"/>
        <item x="197"/>
        <item x="166"/>
        <item x="69"/>
        <item x="73"/>
        <item x="228"/>
        <item x="167"/>
        <item x="108"/>
        <item x="80"/>
        <item x="180"/>
        <item x="83"/>
        <item x="101"/>
        <item x="192"/>
        <item x="194"/>
        <item x="199"/>
        <item x="231"/>
        <item x="52"/>
        <item x="136"/>
        <item t="default"/>
      </items>
    </pivotField>
    <pivotField dataField="1" showAll="0"/>
    <pivotField showAll="0">
      <items count="8">
        <item x="3"/>
        <item x="2"/>
        <item x="5"/>
        <item x="6"/>
        <item x="1"/>
        <item x="4"/>
        <item x="0"/>
        <item t="default"/>
      </items>
    </pivotField>
    <pivotField numFmtId="14" showAll="0"/>
    <pivotField showAll="0"/>
    <pivotField showAll="0"/>
    <pivotField showAll="0"/>
    <pivotField showAll="0"/>
    <pivotField showAll="0"/>
    <pivotField showAll="0"/>
    <pivotField showAll="0"/>
  </pivotFields>
  <rowFields count="1">
    <field x="1"/>
  </rowFields>
  <rowItems count="11">
    <i>
      <x v="4"/>
    </i>
    <i>
      <x v="6"/>
    </i>
    <i>
      <x v="7"/>
    </i>
    <i>
      <x v="5"/>
    </i>
    <i>
      <x v="3"/>
    </i>
    <i>
      <x v="1"/>
    </i>
    <i>
      <x v="2"/>
    </i>
    <i>
      <x v="8"/>
    </i>
    <i>
      <x/>
    </i>
    <i>
      <x v="9"/>
    </i>
    <i t="grand">
      <x/>
    </i>
  </rowItems>
  <colItems count="1">
    <i/>
  </colItems>
  <dataFields count="1">
    <dataField name="Average of Price_per_sqft" fld="10" subtotal="average" baseField="1" baseItem="6"/>
  </dataFields>
  <formats count="2">
    <format dxfId="1">
      <pivotArea collapsedLevelsAreSubtotals="1" fieldPosition="0">
        <references count="1">
          <reference field="1" count="0"/>
        </references>
      </pivotArea>
    </format>
    <format dxfId="0">
      <pivotArea collapsedLevelsAreSubtotals="1" fieldPosition="0">
        <references count="1">
          <reference field="1" count="0"/>
        </references>
      </pivotArea>
    </format>
  </formats>
  <chartFormats count="2">
    <chartFormat chart="12" format="6"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E5B09C-5073-4304-96EB-97AE48518D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L9" firstHeaderRow="1" firstDataRow="2" firstDataCol="1"/>
  <pivotFields count="20">
    <pivotField showAll="0"/>
    <pivotField axis="axisCol" showAll="0">
      <items count="11">
        <item x="8"/>
        <item x="4"/>
        <item x="9"/>
        <item x="2"/>
        <item x="7"/>
        <item x="5"/>
        <item x="3"/>
        <item x="6"/>
        <item x="0"/>
        <item x="1"/>
        <item t="default"/>
      </items>
    </pivotField>
    <pivotField showAll="0"/>
    <pivotField showAll="0"/>
    <pivotField showAll="0"/>
    <pivotField showAll="0">
      <items count="6">
        <item x="2"/>
        <item x="1"/>
        <item x="0"/>
        <item x="4"/>
        <item x="3"/>
        <item t="default"/>
      </items>
    </pivotField>
    <pivotField showAll="0"/>
    <pivotField showAll="0"/>
    <pivotField dataField="1" showAll="0">
      <items count="251">
        <item x="157"/>
        <item x="6"/>
        <item x="68"/>
        <item x="189"/>
        <item x="213"/>
        <item x="210"/>
        <item x="14"/>
        <item x="108"/>
        <item x="113"/>
        <item x="168"/>
        <item x="56"/>
        <item x="95"/>
        <item x="111"/>
        <item x="76"/>
        <item x="204"/>
        <item x="156"/>
        <item x="114"/>
        <item x="235"/>
        <item x="60"/>
        <item x="130"/>
        <item x="32"/>
        <item x="87"/>
        <item x="221"/>
        <item x="49"/>
        <item x="155"/>
        <item x="63"/>
        <item x="47"/>
        <item x="11"/>
        <item x="177"/>
        <item x="123"/>
        <item x="105"/>
        <item x="135"/>
        <item x="94"/>
        <item x="29"/>
        <item x="40"/>
        <item x="240"/>
        <item x="144"/>
        <item x="183"/>
        <item x="236"/>
        <item x="134"/>
        <item x="8"/>
        <item x="46"/>
        <item x="185"/>
        <item x="104"/>
        <item x="62"/>
        <item x="152"/>
        <item x="143"/>
        <item x="145"/>
        <item x="120"/>
        <item x="244"/>
        <item x="3"/>
        <item x="178"/>
        <item x="75"/>
        <item x="138"/>
        <item x="162"/>
        <item x="202"/>
        <item x="28"/>
        <item x="99"/>
        <item x="167"/>
        <item x="4"/>
        <item x="226"/>
        <item x="90"/>
        <item x="193"/>
        <item x="97"/>
        <item x="211"/>
        <item x="179"/>
        <item x="72"/>
        <item x="36"/>
        <item x="1"/>
        <item x="12"/>
        <item x="133"/>
        <item x="101"/>
        <item x="61"/>
        <item x="80"/>
        <item x="223"/>
        <item x="243"/>
        <item x="57"/>
        <item x="127"/>
        <item x="141"/>
        <item x="164"/>
        <item x="10"/>
        <item x="194"/>
        <item x="15"/>
        <item x="39"/>
        <item x="53"/>
        <item x="146"/>
        <item x="7"/>
        <item x="151"/>
        <item x="37"/>
        <item x="71"/>
        <item x="31"/>
        <item x="58"/>
        <item x="33"/>
        <item x="180"/>
        <item x="161"/>
        <item x="165"/>
        <item x="125"/>
        <item x="154"/>
        <item x="137"/>
        <item x="126"/>
        <item x="190"/>
        <item x="0"/>
        <item x="175"/>
        <item x="19"/>
        <item x="96"/>
        <item x="233"/>
        <item x="234"/>
        <item x="247"/>
        <item x="23"/>
        <item x="216"/>
        <item x="24"/>
        <item x="192"/>
        <item x="128"/>
        <item x="215"/>
        <item x="86"/>
        <item x="44"/>
        <item x="16"/>
        <item x="66"/>
        <item x="142"/>
        <item x="100"/>
        <item x="110"/>
        <item x="153"/>
        <item x="231"/>
        <item x="18"/>
        <item x="176"/>
        <item x="171"/>
        <item x="188"/>
        <item x="30"/>
        <item x="139"/>
        <item x="2"/>
        <item x="112"/>
        <item x="115"/>
        <item x="242"/>
        <item x="34"/>
        <item x="43"/>
        <item x="169"/>
        <item x="82"/>
        <item x="118"/>
        <item x="222"/>
        <item x="73"/>
        <item x="124"/>
        <item x="41"/>
        <item x="27"/>
        <item x="13"/>
        <item x="219"/>
        <item x="217"/>
        <item x="54"/>
        <item x="200"/>
        <item x="228"/>
        <item x="22"/>
        <item x="25"/>
        <item x="65"/>
        <item x="83"/>
        <item x="158"/>
        <item x="181"/>
        <item x="93"/>
        <item x="131"/>
        <item x="225"/>
        <item x="79"/>
        <item x="205"/>
        <item x="229"/>
        <item x="78"/>
        <item x="106"/>
        <item x="214"/>
        <item x="38"/>
        <item x="191"/>
        <item x="26"/>
        <item x="91"/>
        <item x="224"/>
        <item x="248"/>
        <item x="148"/>
        <item x="132"/>
        <item x="218"/>
        <item x="42"/>
        <item x="197"/>
        <item x="227"/>
        <item x="239"/>
        <item x="212"/>
        <item x="17"/>
        <item x="119"/>
        <item x="174"/>
        <item x="163"/>
        <item x="98"/>
        <item x="64"/>
        <item x="186"/>
        <item x="67"/>
        <item x="209"/>
        <item x="89"/>
        <item x="172"/>
        <item x="160"/>
        <item x="20"/>
        <item x="184"/>
        <item x="5"/>
        <item x="45"/>
        <item x="237"/>
        <item x="147"/>
        <item x="129"/>
        <item x="196"/>
        <item x="159"/>
        <item x="199"/>
        <item x="59"/>
        <item x="107"/>
        <item x="170"/>
        <item x="88"/>
        <item x="122"/>
        <item x="220"/>
        <item x="187"/>
        <item x="50"/>
        <item x="182"/>
        <item x="166"/>
        <item x="173"/>
        <item x="249"/>
        <item x="136"/>
        <item x="241"/>
        <item x="48"/>
        <item x="206"/>
        <item x="51"/>
        <item x="238"/>
        <item x="116"/>
        <item x="92"/>
        <item x="69"/>
        <item x="198"/>
        <item x="149"/>
        <item x="232"/>
        <item x="102"/>
        <item x="150"/>
        <item x="109"/>
        <item x="21"/>
        <item x="74"/>
        <item x="9"/>
        <item x="77"/>
        <item x="117"/>
        <item x="195"/>
        <item x="103"/>
        <item x="81"/>
        <item x="70"/>
        <item x="245"/>
        <item x="85"/>
        <item x="84"/>
        <item x="230"/>
        <item x="203"/>
        <item x="55"/>
        <item x="121"/>
        <item x="201"/>
        <item x="207"/>
        <item x="35"/>
        <item x="246"/>
        <item x="208"/>
        <item x="140"/>
        <item x="52"/>
        <item t="default"/>
      </items>
    </pivotField>
    <pivotField showAll="0"/>
    <pivotField showAll="0"/>
    <pivotField showAll="0">
      <items count="8">
        <item x="3"/>
        <item x="2"/>
        <item x="5"/>
        <item x="6"/>
        <item x="1"/>
        <item x="4"/>
        <item x="0"/>
        <item t="default"/>
      </items>
    </pivotField>
    <pivotField numFmtId="14" showAll="0"/>
    <pivotField showAll="0"/>
    <pivotField axis="axisRow" showAll="0">
      <items count="5">
        <item x="2"/>
        <item x="1"/>
        <item x="0"/>
        <item x="3"/>
        <item t="default"/>
      </items>
    </pivotField>
    <pivotField showAll="0"/>
    <pivotField showAll="0"/>
    <pivotField showAll="0"/>
    <pivotField showAll="0"/>
    <pivotField showAll="0"/>
  </pivotFields>
  <rowFields count="1">
    <field x="14"/>
  </rowFields>
  <rowItems count="5">
    <i>
      <x/>
    </i>
    <i>
      <x v="1"/>
    </i>
    <i>
      <x v="2"/>
    </i>
    <i>
      <x v="3"/>
    </i>
    <i t="grand">
      <x/>
    </i>
  </rowItems>
  <colFields count="1">
    <field x="1"/>
  </colFields>
  <colItems count="11">
    <i>
      <x/>
    </i>
    <i>
      <x v="1"/>
    </i>
    <i>
      <x v="2"/>
    </i>
    <i>
      <x v="3"/>
    </i>
    <i>
      <x v="4"/>
    </i>
    <i>
      <x v="5"/>
    </i>
    <i>
      <x v="6"/>
    </i>
    <i>
      <x v="7"/>
    </i>
    <i>
      <x v="8"/>
    </i>
    <i>
      <x v="9"/>
    </i>
    <i t="grand">
      <x/>
    </i>
  </colItems>
  <dataFields count="1">
    <dataField name="Average of Price_USD" fld="8" subtotal="average" baseField="0" baseItem="0"/>
  </dataFields>
  <chartFormats count="60">
    <chartFormat chart="10" format="40" series="1">
      <pivotArea type="data" outline="0" fieldPosition="0">
        <references count="1">
          <reference field="1" count="1" selected="0">
            <x v="0"/>
          </reference>
        </references>
      </pivotArea>
    </chartFormat>
    <chartFormat chart="10" format="41" series="1">
      <pivotArea type="data" outline="0" fieldPosition="0">
        <references count="1">
          <reference field="1" count="1" selected="0">
            <x v="1"/>
          </reference>
        </references>
      </pivotArea>
    </chartFormat>
    <chartFormat chart="10" format="42" series="1">
      <pivotArea type="data" outline="0" fieldPosition="0">
        <references count="1">
          <reference field="1" count="1" selected="0">
            <x v="2"/>
          </reference>
        </references>
      </pivotArea>
    </chartFormat>
    <chartFormat chart="10" format="43" series="1">
      <pivotArea type="data" outline="0" fieldPosition="0">
        <references count="1">
          <reference field="1" count="1" selected="0">
            <x v="3"/>
          </reference>
        </references>
      </pivotArea>
    </chartFormat>
    <chartFormat chart="10" format="44" series="1">
      <pivotArea type="data" outline="0" fieldPosition="0">
        <references count="1">
          <reference field="1" count="1" selected="0">
            <x v="4"/>
          </reference>
        </references>
      </pivotArea>
    </chartFormat>
    <chartFormat chart="10" format="45" series="1">
      <pivotArea type="data" outline="0" fieldPosition="0">
        <references count="1">
          <reference field="1" count="1" selected="0">
            <x v="5"/>
          </reference>
        </references>
      </pivotArea>
    </chartFormat>
    <chartFormat chart="10" format="46" series="1">
      <pivotArea type="data" outline="0" fieldPosition="0">
        <references count="1">
          <reference field="1" count="1" selected="0">
            <x v="6"/>
          </reference>
        </references>
      </pivotArea>
    </chartFormat>
    <chartFormat chart="10" format="47" series="1">
      <pivotArea type="data" outline="0" fieldPosition="0">
        <references count="1">
          <reference field="1" count="1" selected="0">
            <x v="7"/>
          </reference>
        </references>
      </pivotArea>
    </chartFormat>
    <chartFormat chart="10" format="48" series="1">
      <pivotArea type="data" outline="0" fieldPosition="0">
        <references count="1">
          <reference field="1" count="1" selected="0">
            <x v="8"/>
          </reference>
        </references>
      </pivotArea>
    </chartFormat>
    <chartFormat chart="10" format="49" series="1">
      <pivotArea type="data" outline="0" fieldPosition="0">
        <references count="1">
          <reference field="1" count="1" selected="0">
            <x v="9"/>
          </reference>
        </references>
      </pivotArea>
    </chartFormat>
    <chartFormat chart="3" format="30" series="1">
      <pivotArea type="data" outline="0" fieldPosition="0">
        <references count="1">
          <reference field="1" count="1" selected="0">
            <x v="0"/>
          </reference>
        </references>
      </pivotArea>
    </chartFormat>
    <chartFormat chart="3" format="31" series="1">
      <pivotArea type="data" outline="0" fieldPosition="0">
        <references count="1">
          <reference field="1" count="1" selected="0">
            <x v="1"/>
          </reference>
        </references>
      </pivotArea>
    </chartFormat>
    <chartFormat chart="3" format="32" series="1">
      <pivotArea type="data" outline="0" fieldPosition="0">
        <references count="1">
          <reference field="1" count="1" selected="0">
            <x v="2"/>
          </reference>
        </references>
      </pivotArea>
    </chartFormat>
    <chartFormat chart="3" format="33" series="1">
      <pivotArea type="data" outline="0" fieldPosition="0">
        <references count="1">
          <reference field="1" count="1" selected="0">
            <x v="3"/>
          </reference>
        </references>
      </pivotArea>
    </chartFormat>
    <chartFormat chart="3" format="34" series="1">
      <pivotArea type="data" outline="0" fieldPosition="0">
        <references count="1">
          <reference field="1" count="1" selected="0">
            <x v="4"/>
          </reference>
        </references>
      </pivotArea>
    </chartFormat>
    <chartFormat chart="3" format="35" series="1">
      <pivotArea type="data" outline="0" fieldPosition="0">
        <references count="1">
          <reference field="1" count="1" selected="0">
            <x v="5"/>
          </reference>
        </references>
      </pivotArea>
    </chartFormat>
    <chartFormat chart="3" format="36" series="1">
      <pivotArea type="data" outline="0" fieldPosition="0">
        <references count="1">
          <reference field="1" count="1" selected="0">
            <x v="6"/>
          </reference>
        </references>
      </pivotArea>
    </chartFormat>
    <chartFormat chart="3" format="37" series="1">
      <pivotArea type="data" outline="0" fieldPosition="0">
        <references count="1">
          <reference field="1" count="1" selected="0">
            <x v="7"/>
          </reference>
        </references>
      </pivotArea>
    </chartFormat>
    <chartFormat chart="3" format="38" series="1">
      <pivotArea type="data" outline="0" fieldPosition="0">
        <references count="1">
          <reference field="1" count="1" selected="0">
            <x v="8"/>
          </reference>
        </references>
      </pivotArea>
    </chartFormat>
    <chartFormat chart="3" format="39" series="1">
      <pivotArea type="data" outline="0" fieldPosition="0">
        <references count="1">
          <reference field="1" count="1" selected="0">
            <x v="9"/>
          </reference>
        </references>
      </pivotArea>
    </chartFormat>
    <chartFormat chart="0" format="10" series="1">
      <pivotArea type="data" outline="0" fieldPosition="0">
        <references count="1">
          <reference field="1" count="1" selected="0">
            <x v="0"/>
          </reference>
        </references>
      </pivotArea>
    </chartFormat>
    <chartFormat chart="0" format="11" series="1">
      <pivotArea type="data" outline="0" fieldPosition="0">
        <references count="1">
          <reference field="1" count="1" selected="0">
            <x v="1"/>
          </reference>
        </references>
      </pivotArea>
    </chartFormat>
    <chartFormat chart="0" format="12" series="1">
      <pivotArea type="data" outline="0" fieldPosition="0">
        <references count="1">
          <reference field="1" count="1" selected="0">
            <x v="2"/>
          </reference>
        </references>
      </pivotArea>
    </chartFormat>
    <chartFormat chart="0" format="13" series="1">
      <pivotArea type="data" outline="0" fieldPosition="0">
        <references count="1">
          <reference field="1" count="1" selected="0">
            <x v="3"/>
          </reference>
        </references>
      </pivotArea>
    </chartFormat>
    <chartFormat chart="0" format="14" series="1">
      <pivotArea type="data" outline="0" fieldPosition="0">
        <references count="1">
          <reference field="1" count="1" selected="0">
            <x v="4"/>
          </reference>
        </references>
      </pivotArea>
    </chartFormat>
    <chartFormat chart="0" format="15" series="1">
      <pivotArea type="data" outline="0" fieldPosition="0">
        <references count="1">
          <reference field="1" count="1" selected="0">
            <x v="5"/>
          </reference>
        </references>
      </pivotArea>
    </chartFormat>
    <chartFormat chart="0" format="16" series="1">
      <pivotArea type="data" outline="0" fieldPosition="0">
        <references count="1">
          <reference field="1" count="1" selected="0">
            <x v="6"/>
          </reference>
        </references>
      </pivotArea>
    </chartFormat>
    <chartFormat chart="0" format="17" series="1">
      <pivotArea type="data" outline="0" fieldPosition="0">
        <references count="1">
          <reference field="1" count="1" selected="0">
            <x v="7"/>
          </reference>
        </references>
      </pivotArea>
    </chartFormat>
    <chartFormat chart="0" format="18" series="1">
      <pivotArea type="data" outline="0" fieldPosition="0">
        <references count="1">
          <reference field="1" count="1" selected="0">
            <x v="8"/>
          </reference>
        </references>
      </pivotArea>
    </chartFormat>
    <chartFormat chart="0" format="19" series="1">
      <pivotArea type="data" outline="0" fieldPosition="0">
        <references count="1">
          <reference field="1" count="1" selected="0">
            <x v="9"/>
          </reference>
        </references>
      </pivotArea>
    </chartFormat>
    <chartFormat chart="10" format="51" series="1">
      <pivotArea type="data" outline="0" fieldPosition="0">
        <references count="2">
          <reference field="4294967294" count="1" selected="0">
            <x v="0"/>
          </reference>
          <reference field="1" count="1" selected="0">
            <x v="5"/>
          </reference>
        </references>
      </pivotArea>
    </chartFormat>
    <chartFormat chart="10" format="53" series="1">
      <pivotArea type="data" outline="0" fieldPosition="0">
        <references count="2">
          <reference field="4294967294" count="1" selected="0">
            <x v="0"/>
          </reference>
          <reference field="1" count="1" selected="0">
            <x v="6"/>
          </reference>
        </references>
      </pivotArea>
    </chartFormat>
    <chartFormat chart="10" format="55" series="1">
      <pivotArea type="data" outline="0" fieldPosition="0">
        <references count="2">
          <reference field="4294967294" count="1" selected="0">
            <x v="0"/>
          </reference>
          <reference field="1" count="1" selected="0">
            <x v="7"/>
          </reference>
        </references>
      </pivotArea>
    </chartFormat>
    <chartFormat chart="10" format="57" series="1">
      <pivotArea type="data" outline="0" fieldPosition="0">
        <references count="2">
          <reference field="4294967294" count="1" selected="0">
            <x v="0"/>
          </reference>
          <reference field="1" count="1" selected="0">
            <x v="8"/>
          </reference>
        </references>
      </pivotArea>
    </chartFormat>
    <chartFormat chart="10" format="59" series="1">
      <pivotArea type="data" outline="0" fieldPosition="0">
        <references count="2">
          <reference field="4294967294" count="1" selected="0">
            <x v="0"/>
          </reference>
          <reference field="1" count="1" selected="0">
            <x v="9"/>
          </reference>
        </references>
      </pivotArea>
    </chartFormat>
    <chartFormat chart="3" format="41" series="1">
      <pivotArea type="data" outline="0" fieldPosition="0">
        <references count="2">
          <reference field="4294967294" count="1" selected="0">
            <x v="0"/>
          </reference>
          <reference field="1" count="1" selected="0">
            <x v="5"/>
          </reference>
        </references>
      </pivotArea>
    </chartFormat>
    <chartFormat chart="3" format="43" series="1">
      <pivotArea type="data" outline="0" fieldPosition="0">
        <references count="2">
          <reference field="4294967294" count="1" selected="0">
            <x v="0"/>
          </reference>
          <reference field="1" count="1" selected="0">
            <x v="6"/>
          </reference>
        </references>
      </pivotArea>
    </chartFormat>
    <chartFormat chart="3" format="45" series="1">
      <pivotArea type="data" outline="0" fieldPosition="0">
        <references count="2">
          <reference field="4294967294" count="1" selected="0">
            <x v="0"/>
          </reference>
          <reference field="1" count="1" selected="0">
            <x v="7"/>
          </reference>
        </references>
      </pivotArea>
    </chartFormat>
    <chartFormat chart="3" format="47" series="1">
      <pivotArea type="data" outline="0" fieldPosition="0">
        <references count="2">
          <reference field="4294967294" count="1" selected="0">
            <x v="0"/>
          </reference>
          <reference field="1" count="1" selected="0">
            <x v="8"/>
          </reference>
        </references>
      </pivotArea>
    </chartFormat>
    <chartFormat chart="3" format="49" series="1">
      <pivotArea type="data" outline="0" fieldPosition="0">
        <references count="2">
          <reference field="4294967294" count="1" selected="0">
            <x v="0"/>
          </reference>
          <reference field="1" count="1" selected="0">
            <x v="9"/>
          </reference>
        </references>
      </pivotArea>
    </chartFormat>
    <chartFormat chart="0" format="30" series="1">
      <pivotArea type="data" outline="0" fieldPosition="0">
        <references count="2">
          <reference field="4294967294" count="1" selected="0">
            <x v="0"/>
          </reference>
          <reference field="1" count="1" selected="0">
            <x v="5"/>
          </reference>
        </references>
      </pivotArea>
    </chartFormat>
    <chartFormat chart="0" format="31" series="1">
      <pivotArea type="data" outline="0" fieldPosition="0">
        <references count="2">
          <reference field="4294967294" count="1" selected="0">
            <x v="0"/>
          </reference>
          <reference field="1" count="1" selected="0">
            <x v="6"/>
          </reference>
        </references>
      </pivotArea>
    </chartFormat>
    <chartFormat chart="0" format="32" series="1">
      <pivotArea type="data" outline="0" fieldPosition="0">
        <references count="2">
          <reference field="4294967294" count="1" selected="0">
            <x v="0"/>
          </reference>
          <reference field="1" count="1" selected="0">
            <x v="7"/>
          </reference>
        </references>
      </pivotArea>
    </chartFormat>
    <chartFormat chart="0" format="33" series="1">
      <pivotArea type="data" outline="0" fieldPosition="0">
        <references count="2">
          <reference field="4294967294" count="1" selected="0">
            <x v="0"/>
          </reference>
          <reference field="1" count="1" selected="0">
            <x v="8"/>
          </reference>
        </references>
      </pivotArea>
    </chartFormat>
    <chartFormat chart="0" format="34" series="1">
      <pivotArea type="data" outline="0" fieldPosition="0">
        <references count="2">
          <reference field="4294967294" count="1" selected="0">
            <x v="0"/>
          </reference>
          <reference field="1" count="1" selected="0">
            <x v="9"/>
          </reference>
        </references>
      </pivotArea>
    </chartFormat>
    <chartFormat chart="0" format="35" series="1">
      <pivotArea type="data" outline="0" fieldPosition="0">
        <references count="2">
          <reference field="4294967294" count="1" selected="0">
            <x v="0"/>
          </reference>
          <reference field="1" count="1" selected="0">
            <x v="0"/>
          </reference>
        </references>
      </pivotArea>
    </chartFormat>
    <chartFormat chart="0" format="36" series="1">
      <pivotArea type="data" outline="0" fieldPosition="0">
        <references count="2">
          <reference field="4294967294" count="1" selected="0">
            <x v="0"/>
          </reference>
          <reference field="1" count="1" selected="0">
            <x v="1"/>
          </reference>
        </references>
      </pivotArea>
    </chartFormat>
    <chartFormat chart="0" format="37" series="1">
      <pivotArea type="data" outline="0" fieldPosition="0">
        <references count="2">
          <reference field="4294967294" count="1" selected="0">
            <x v="0"/>
          </reference>
          <reference field="1" count="1" selected="0">
            <x v="2"/>
          </reference>
        </references>
      </pivotArea>
    </chartFormat>
    <chartFormat chart="0" format="38" series="1">
      <pivotArea type="data" outline="0" fieldPosition="0">
        <references count="2">
          <reference field="4294967294" count="1" selected="0">
            <x v="0"/>
          </reference>
          <reference field="1" count="1" selected="0">
            <x v="3"/>
          </reference>
        </references>
      </pivotArea>
    </chartFormat>
    <chartFormat chart="0" format="39" series="1">
      <pivotArea type="data" outline="0" fieldPosition="0">
        <references count="2">
          <reference field="4294967294" count="1" selected="0">
            <x v="0"/>
          </reference>
          <reference field="1" count="1" selected="0">
            <x v="4"/>
          </reference>
        </references>
      </pivotArea>
    </chartFormat>
    <chartFormat chart="3" format="50" series="1">
      <pivotArea type="data" outline="0" fieldPosition="0">
        <references count="2">
          <reference field="4294967294" count="1" selected="0">
            <x v="0"/>
          </reference>
          <reference field="1" count="1" selected="0">
            <x v="0"/>
          </reference>
        </references>
      </pivotArea>
    </chartFormat>
    <chartFormat chart="3" format="51" series="1">
      <pivotArea type="data" outline="0" fieldPosition="0">
        <references count="2">
          <reference field="4294967294" count="1" selected="0">
            <x v="0"/>
          </reference>
          <reference field="1" count="1" selected="0">
            <x v="1"/>
          </reference>
        </references>
      </pivotArea>
    </chartFormat>
    <chartFormat chart="3" format="52" series="1">
      <pivotArea type="data" outline="0" fieldPosition="0">
        <references count="2">
          <reference field="4294967294" count="1" selected="0">
            <x v="0"/>
          </reference>
          <reference field="1" count="1" selected="0">
            <x v="2"/>
          </reference>
        </references>
      </pivotArea>
    </chartFormat>
    <chartFormat chart="3" format="53" series="1">
      <pivotArea type="data" outline="0" fieldPosition="0">
        <references count="2">
          <reference field="4294967294" count="1" selected="0">
            <x v="0"/>
          </reference>
          <reference field="1" count="1" selected="0">
            <x v="3"/>
          </reference>
        </references>
      </pivotArea>
    </chartFormat>
    <chartFormat chart="3" format="54" series="1">
      <pivotArea type="data" outline="0" fieldPosition="0">
        <references count="2">
          <reference field="4294967294" count="1" selected="0">
            <x v="0"/>
          </reference>
          <reference field="1" count="1" selected="0">
            <x v="4"/>
          </reference>
        </references>
      </pivotArea>
    </chartFormat>
    <chartFormat chart="10" format="60" series="1">
      <pivotArea type="data" outline="0" fieldPosition="0">
        <references count="2">
          <reference field="4294967294" count="1" selected="0">
            <x v="0"/>
          </reference>
          <reference field="1" count="1" selected="0">
            <x v="0"/>
          </reference>
        </references>
      </pivotArea>
    </chartFormat>
    <chartFormat chart="10" format="61" series="1">
      <pivotArea type="data" outline="0" fieldPosition="0">
        <references count="2">
          <reference field="4294967294" count="1" selected="0">
            <x v="0"/>
          </reference>
          <reference field="1" count="1" selected="0">
            <x v="1"/>
          </reference>
        </references>
      </pivotArea>
    </chartFormat>
    <chartFormat chart="10" format="62" series="1">
      <pivotArea type="data" outline="0" fieldPosition="0">
        <references count="2">
          <reference field="4294967294" count="1" selected="0">
            <x v="0"/>
          </reference>
          <reference field="1" count="1" selected="0">
            <x v="2"/>
          </reference>
        </references>
      </pivotArea>
    </chartFormat>
    <chartFormat chart="10" format="63" series="1">
      <pivotArea type="data" outline="0" fieldPosition="0">
        <references count="2">
          <reference field="4294967294" count="1" selected="0">
            <x v="0"/>
          </reference>
          <reference field="1" count="1" selected="0">
            <x v="3"/>
          </reference>
        </references>
      </pivotArea>
    </chartFormat>
    <chartFormat chart="10" format="6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F211D1-4B43-4ECD-833A-FD55C7D70102}"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3:B11" firstHeaderRow="1" firstDataRow="1" firstDataCol="1"/>
  <pivotFields count="20">
    <pivotField showAll="0"/>
    <pivotField showAll="0">
      <items count="11">
        <item x="8"/>
        <item x="4"/>
        <item x="9"/>
        <item x="2"/>
        <item x="7"/>
        <item x="5"/>
        <item x="3"/>
        <item x="6"/>
        <item x="0"/>
        <item x="1"/>
        <item t="default"/>
      </items>
    </pivotField>
    <pivotField showAll="0"/>
    <pivotField showAll="0"/>
    <pivotField showAll="0"/>
    <pivotField showAll="0">
      <items count="6">
        <item x="2"/>
        <item x="1"/>
        <item x="0"/>
        <item x="4"/>
        <item x="3"/>
        <item t="default"/>
      </items>
    </pivotField>
    <pivotField showAll="0"/>
    <pivotField showAll="0"/>
    <pivotField dataField="1" showAll="0"/>
    <pivotField showAll="0"/>
    <pivotField showAll="0"/>
    <pivotField axis="axisRow" showAll="0">
      <items count="8">
        <item x="3"/>
        <item x="2"/>
        <item x="5"/>
        <item x="6"/>
        <item x="1"/>
        <item x="4"/>
        <item x="0"/>
        <item t="default"/>
      </items>
    </pivotField>
    <pivotField numFmtId="14" showAll="0">
      <items count="236">
        <item x="160"/>
        <item x="173"/>
        <item x="22"/>
        <item x="17"/>
        <item x="168"/>
        <item x="209"/>
        <item x="234"/>
        <item x="232"/>
        <item x="81"/>
        <item x="215"/>
        <item x="66"/>
        <item x="149"/>
        <item x="48"/>
        <item x="202"/>
        <item x="70"/>
        <item x="44"/>
        <item x="93"/>
        <item x="87"/>
        <item x="157"/>
        <item x="153"/>
        <item x="56"/>
        <item x="6"/>
        <item x="117"/>
        <item x="216"/>
        <item x="99"/>
        <item x="217"/>
        <item x="120"/>
        <item x="72"/>
        <item x="89"/>
        <item x="181"/>
        <item x="210"/>
        <item x="35"/>
        <item x="192"/>
        <item x="25"/>
        <item x="83"/>
        <item x="58"/>
        <item x="71"/>
        <item x="4"/>
        <item x="2"/>
        <item x="212"/>
        <item x="226"/>
        <item x="37"/>
        <item x="26"/>
        <item x="161"/>
        <item x="124"/>
        <item x="220"/>
        <item x="219"/>
        <item x="230"/>
        <item x="13"/>
        <item x="129"/>
        <item x="55"/>
        <item x="106"/>
        <item x="86"/>
        <item x="211"/>
        <item x="166"/>
        <item x="205"/>
        <item x="229"/>
        <item x="68"/>
        <item x="113"/>
        <item x="138"/>
        <item x="199"/>
        <item x="69"/>
        <item x="60"/>
        <item x="8"/>
        <item x="126"/>
        <item x="5"/>
        <item x="43"/>
        <item x="121"/>
        <item x="201"/>
        <item x="172"/>
        <item x="184"/>
        <item x="151"/>
        <item x="28"/>
        <item x="175"/>
        <item x="50"/>
        <item x="15"/>
        <item x="141"/>
        <item x="53"/>
        <item x="109"/>
        <item x="32"/>
        <item x="137"/>
        <item x="125"/>
        <item x="204"/>
        <item x="29"/>
        <item x="73"/>
        <item x="112"/>
        <item x="228"/>
        <item x="163"/>
        <item x="114"/>
        <item x="11"/>
        <item x="133"/>
        <item x="146"/>
        <item x="222"/>
        <item x="162"/>
        <item x="185"/>
        <item x="152"/>
        <item x="16"/>
        <item x="188"/>
        <item x="79"/>
        <item x="39"/>
        <item x="24"/>
        <item x="12"/>
        <item x="223"/>
        <item x="96"/>
        <item x="61"/>
        <item x="130"/>
        <item x="94"/>
        <item x="54"/>
        <item x="144"/>
        <item x="98"/>
        <item x="187"/>
        <item x="33"/>
        <item x="34"/>
        <item x="82"/>
        <item x="52"/>
        <item x="218"/>
        <item x="224"/>
        <item x="128"/>
        <item x="193"/>
        <item x="49"/>
        <item x="134"/>
        <item x="14"/>
        <item x="186"/>
        <item x="40"/>
        <item x="95"/>
        <item x="31"/>
        <item x="145"/>
        <item x="45"/>
        <item x="30"/>
        <item x="77"/>
        <item x="74"/>
        <item x="182"/>
        <item x="65"/>
        <item x="107"/>
        <item x="27"/>
        <item x="78"/>
        <item x="80"/>
        <item x="23"/>
        <item x="227"/>
        <item x="198"/>
        <item x="171"/>
        <item x="169"/>
        <item x="214"/>
        <item x="42"/>
        <item x="231"/>
        <item x="178"/>
        <item x="51"/>
        <item x="200"/>
        <item x="170"/>
        <item x="41"/>
        <item x="1"/>
        <item x="164"/>
        <item x="195"/>
        <item x="92"/>
        <item x="233"/>
        <item x="63"/>
        <item x="119"/>
        <item x="108"/>
        <item x="203"/>
        <item x="213"/>
        <item x="159"/>
        <item x="101"/>
        <item x="111"/>
        <item x="104"/>
        <item x="91"/>
        <item x="207"/>
        <item x="18"/>
        <item x="135"/>
        <item x="196"/>
        <item x="197"/>
        <item x="103"/>
        <item x="132"/>
        <item x="118"/>
        <item x="127"/>
        <item x="150"/>
        <item x="59"/>
        <item x="177"/>
        <item x="154"/>
        <item x="97"/>
        <item x="174"/>
        <item x="206"/>
        <item x="180"/>
        <item x="208"/>
        <item x="75"/>
        <item x="131"/>
        <item x="67"/>
        <item x="179"/>
        <item x="10"/>
        <item x="122"/>
        <item x="156"/>
        <item x="88"/>
        <item x="100"/>
        <item x="155"/>
        <item x="116"/>
        <item x="9"/>
        <item x="165"/>
        <item x="7"/>
        <item x="158"/>
        <item x="19"/>
        <item x="189"/>
        <item x="84"/>
        <item x="0"/>
        <item x="225"/>
        <item x="136"/>
        <item x="64"/>
        <item x="147"/>
        <item x="3"/>
        <item x="38"/>
        <item x="194"/>
        <item x="142"/>
        <item x="139"/>
        <item x="190"/>
        <item x="46"/>
        <item x="85"/>
        <item x="176"/>
        <item x="21"/>
        <item x="221"/>
        <item x="148"/>
        <item x="115"/>
        <item x="191"/>
        <item x="47"/>
        <item x="140"/>
        <item x="62"/>
        <item x="76"/>
        <item x="102"/>
        <item x="20"/>
        <item x="183"/>
        <item x="167"/>
        <item x="110"/>
        <item x="123"/>
        <item x="90"/>
        <item x="57"/>
        <item x="105"/>
        <item x="143"/>
        <item x="36"/>
        <item t="default"/>
      </items>
    </pivotField>
    <pivotField showAll="0"/>
    <pivotField showAll="0"/>
    <pivotField showAll="0"/>
    <pivotField showAll="0"/>
    <pivotField showAll="0"/>
    <pivotField showAll="0"/>
    <pivotField showAll="0"/>
  </pivotFields>
  <rowFields count="1">
    <field x="11"/>
  </rowFields>
  <rowItems count="8">
    <i>
      <x/>
    </i>
    <i>
      <x v="1"/>
    </i>
    <i>
      <x v="2"/>
    </i>
    <i>
      <x v="3"/>
    </i>
    <i>
      <x v="4"/>
    </i>
    <i>
      <x v="5"/>
    </i>
    <i>
      <x v="6"/>
    </i>
    <i t="grand">
      <x/>
    </i>
  </rowItems>
  <colItems count="1">
    <i/>
  </colItems>
  <dataFields count="1">
    <dataField name="Average of Price_USD" fld="8" subtotal="average" baseField="11" baseItem="0"/>
  </dataFields>
  <chartFormats count="4">
    <chartFormat chart="6"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1E869D-9427-42B4-83FA-535EFA5FB917}" autoFormatId="16" applyNumberFormats="0" applyBorderFormats="0" applyFontFormats="0" applyPatternFormats="0" applyAlignmentFormats="0" applyWidthHeightFormats="0">
  <queryTableRefresh nextId="33">
    <queryTableFields count="20">
      <queryTableField id="1" name="ListingID" tableColumnId="1"/>
      <queryTableField id="2" name="City" tableColumnId="2"/>
      <queryTableField id="3" name="Neighborhood" tableColumnId="3"/>
      <queryTableField id="4" name="Area code" tableColumnId="4"/>
      <queryTableField id="5" name="Address.2" tableColumnId="5"/>
      <queryTableField id="6" name="Bedrooms" tableColumnId="6"/>
      <queryTableField id="7" name="Bathrooms" tableColumnId="7"/>
      <queryTableField id="9" name="Year_Built" tableColumnId="9"/>
      <queryTableField id="13" name="Price_USD" tableColumnId="13"/>
      <queryTableField id="8" name="Area_sqft" tableColumnId="8"/>
      <queryTableField id="14" name="Price_per_sqft" tableColumnId="14"/>
      <queryTableField id="32" dataBound="0" tableColumnId="20"/>
      <queryTableField id="10" name="Sale_Date" tableColumnId="10"/>
      <queryTableField id="11" name="Property_Type" tableColumnId="11"/>
      <queryTableField id="12" name="Condition" tableColumnId="12"/>
      <queryTableField id="18" name="Seller_Notes" tableColumnId="18"/>
      <queryTableField id="15" name="Days_on_Market" tableColumnId="15"/>
      <queryTableField id="19" name="Custom" tableColumnId="19"/>
      <queryTableField id="17" name="Longitude" tableColumnId="17"/>
      <queryTableField id="16" name="Latitud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472636C5-994C-4700-974C-5661F5AC32DE}" sourceName="City">
  <pivotTables>
    <pivotTable tabId="4" name="PivotTable1"/>
    <pivotTable tabId="4" name="PivotTable2"/>
    <pivotTable tabId="6" name="PivotTable3"/>
    <pivotTable tabId="7" name="PivotTable22"/>
    <pivotTable tabId="10" name="PivotTable1"/>
  </pivotTables>
  <data>
    <tabular pivotCacheId="318469039">
      <items count="10">
        <i x="8" s="1"/>
        <i x="4" s="1"/>
        <i x="9" s="1"/>
        <i x="2" s="1"/>
        <i x="7" s="1"/>
        <i x="5" s="1"/>
        <i x="3"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4EB882E8-EF46-4D8A-85F2-90AAE172CFDC}" sourceName="Column1">
  <pivotTables>
    <pivotTable tabId="7" name="PivotTable22"/>
    <pivotTable tabId="4" name="PivotTable1"/>
    <pivotTable tabId="4" name="PivotTable2"/>
    <pivotTable tabId="6" name="PivotTable3"/>
  </pivotTables>
  <data>
    <tabular pivotCacheId="318469039">
      <items count="7">
        <i x="3" s="1"/>
        <i x="2" s="1"/>
        <i x="5" s="1"/>
        <i x="6"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rooms" xr10:uid="{A52E4D7C-D717-4B8D-B312-886D1BBAABBD}" sourceName="Bedrooms">
  <pivotTables>
    <pivotTable tabId="4" name="PivotTable1"/>
    <pivotTable tabId="4" name="PivotTable2"/>
    <pivotTable tabId="7" name="PivotTable22"/>
    <pivotTable tabId="6" name="PivotTable3"/>
    <pivotTable tabId="10" name="PivotTable1"/>
  </pivotTables>
  <data>
    <tabular pivotCacheId="318469039">
      <items count="5">
        <i x="2" s="1"/>
        <i x="1"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76AECF76-CBC0-4107-A5B1-D208E5DFB8D9}" cache="Slicer_City1"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E8C02A9-E887-411F-960F-282AB4FBD3EB}" cache="Slicer_City1" caption="City" startItem="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C51A5F6E-AAFD-4A2D-B7C3-9874BF375F02}" cache="Slicer_Column1" caption="Column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46749EEA-11A9-449C-A958-3600DEEABBDE}" cache="Slicer_City1" caption="City" columnCount="2" style="SlicerStyleDark5" rowHeight="288000"/>
  <slicer name="Column1 1" xr10:uid="{3026C19D-CE9C-4060-9BE3-6F5F3B11AD98}" cache="Slicer_Column1" caption="Year" columnCount="2" style="SlicerStyleDark5" rowHeight="216000"/>
  <slicer name="Bedrooms" xr10:uid="{2B36D27F-3D2E-4617-B1E0-32273D0EF2A9}" cache="Slicer_Bedrooms" caption="Bedrooms" columnCount="2"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837056-B759-48AB-BA19-FCEC80DAEC4B}" name="Sheet1" displayName="Sheet1" ref="A1:T251" tableType="queryTable" totalsRowShown="0">
  <autoFilter ref="A1:T251" xr:uid="{10837056-B759-48AB-BA19-FCEC80DAEC4B}"/>
  <tableColumns count="20">
    <tableColumn id="1" xr3:uid="{101F6A1D-CDFE-48A6-A5EB-4DF273591AD0}" uniqueName="1" name="ListingID" queryTableFieldId="1" dataDxfId="10"/>
    <tableColumn id="2" xr3:uid="{91AA8F85-610C-4271-ADC0-DE224F3CDFCE}" uniqueName="2" name="City" queryTableFieldId="2" dataDxfId="9"/>
    <tableColumn id="3" xr3:uid="{6394A6C1-53DA-49B2-BDF2-35A251910477}" uniqueName="3" name="Neighborhood" queryTableFieldId="3" dataDxfId="8"/>
    <tableColumn id="4" xr3:uid="{62A9107D-6668-4860-9EB4-BA719365AB0D}" uniqueName="4" name="Area code" queryTableFieldId="4"/>
    <tableColumn id="5" xr3:uid="{87DD1DC0-95B6-432F-8E34-775B51D1EC1E}" uniqueName="5" name="Address.2" queryTableFieldId="5" dataDxfId="7"/>
    <tableColumn id="6" xr3:uid="{10166DD0-141A-4322-82A7-607BA7BCCA98}" uniqueName="6" name="Bedrooms" queryTableFieldId="6"/>
    <tableColumn id="7" xr3:uid="{5B322860-297F-41FE-8B0D-2B8282BDBB2E}" uniqueName="7" name="Bathrooms" queryTableFieldId="7"/>
    <tableColumn id="9" xr3:uid="{6326369E-1C03-46E9-8B23-22CFDCDA514B}" uniqueName="9" name="Year_Built" queryTableFieldId="9"/>
    <tableColumn id="13" xr3:uid="{246AFE92-157D-486D-B60B-6EEC03781590}" uniqueName="13" name="Price_USD" queryTableFieldId="13"/>
    <tableColumn id="8" xr3:uid="{FCAC99C9-8456-4303-B176-15C57AD4F44B}" uniqueName="8" name="Area_sqft" queryTableFieldId="8"/>
    <tableColumn id="14" xr3:uid="{FA06F399-A881-46E6-8719-B75F71C7232B}" uniqueName="14" name="Price_per_sqft" queryTableFieldId="14"/>
    <tableColumn id="20" xr3:uid="{6B229E3E-F012-47EB-9287-2DA47F7EB821}" uniqueName="20" name="year" queryTableFieldId="32" dataDxfId="6">
      <calculatedColumnFormula>YEAR(M:M)</calculatedColumnFormula>
    </tableColumn>
    <tableColumn id="10" xr3:uid="{5082D367-44E2-47B3-8BB2-357A71D43F25}" uniqueName="10" name="Sale_Date" queryTableFieldId="10" dataDxfId="5"/>
    <tableColumn id="11" xr3:uid="{48CC251B-8453-4FAC-BCAF-36400D6E71FD}" uniqueName="11" name="Property_Type" queryTableFieldId="11" dataDxfId="4"/>
    <tableColumn id="12" xr3:uid="{B58619D4-1A75-4984-B164-ABE3AF6A232E}" uniqueName="12" name="Condition" queryTableFieldId="12" dataDxfId="3"/>
    <tableColumn id="18" xr3:uid="{A3E01C5F-E79C-47F3-8E04-818E941C5936}" uniqueName="18" name="Seller_Notes" queryTableFieldId="18" dataDxfId="2"/>
    <tableColumn id="15" xr3:uid="{E6DD1147-9B61-46D6-B003-441654AD5FB2}" uniqueName="15" name="Days_on_Market" queryTableFieldId="15"/>
    <tableColumn id="19" xr3:uid="{6D30E161-F342-45A8-9DC1-47F776D1DB40}" uniqueName="19" name="Custom" queryTableFieldId="19"/>
    <tableColumn id="17" xr3:uid="{2DDD1617-9DDF-44E0-B6C2-428C1E253259}" uniqueName="17" name="Longitude" queryTableFieldId="17"/>
    <tableColumn id="16" xr3:uid="{4721F0D6-89E0-473D-9844-3973BAA4DBAF}" uniqueName="16" name="Latitude" queryTableFieldId="16"/>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9777F70B-183C-4D59-AB6A-7F17055F400B}" sourceName="Sale_Date">
  <pivotTables>
    <pivotTable tabId="7" name="PivotTable22"/>
  </pivotTables>
  <state minimalRefreshVersion="6" lastRefreshVersion="6" pivotCacheId="318469039" filterType="unknown">
    <bounds startDate="2018-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5E5FBEE6-8033-46EF-BA47-934B398C094F}" cache="NativeTimeline_Sale_Date" caption="Sale_Date" level="0" selectionLevel="0" scrollPosition="2018-01-01T00:00:00"/>
</timeline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 Id="rId4" Type="http://schemas.microsoft.com/office/2011/relationships/timeline" Target="../timelines/timeline1.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1"/>
  <sheetViews>
    <sheetView topLeftCell="A220" workbookViewId="0">
      <selection activeCell="M235" sqref="A1:Q251"/>
    </sheetView>
  </sheetViews>
  <sheetFormatPr defaultRowHeight="14.4" x14ac:dyDescent="0.3"/>
  <cols>
    <col min="1" max="1" width="8.109375" bestFit="1" customWidth="1"/>
    <col min="2" max="2" width="12" bestFit="1" customWidth="1"/>
    <col min="3" max="3" width="14.77734375" bestFit="1" customWidth="1"/>
    <col min="4" max="4" width="12.109375" bestFit="1" customWidth="1"/>
    <col min="5" max="5" width="9.5546875" bestFit="1" customWidth="1"/>
    <col min="6" max="6" width="10.21875" bestFit="1" customWidth="1"/>
    <col min="7" max="7" width="9.109375" bestFit="1" customWidth="1"/>
    <col min="8" max="8" width="9.44140625" bestFit="1" customWidth="1"/>
    <col min="9" max="9" width="10.33203125" bestFit="1" customWidth="1"/>
    <col min="10" max="10" width="13.5546875" bestFit="1" customWidth="1"/>
    <col min="11" max="11" width="16" bestFit="1" customWidth="1"/>
    <col min="12" max="12" width="9.6640625" bestFit="1" customWidth="1"/>
    <col min="13" max="13" width="13.21875" bestFit="1" customWidth="1"/>
    <col min="14" max="14" width="15.44140625" bestFit="1" customWidth="1"/>
    <col min="15" max="15" width="7.88671875" bestFit="1" customWidth="1"/>
    <col min="16" max="16" width="9.44140625" bestFit="1" customWidth="1"/>
    <col min="17" max="17" width="23.4414062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267</v>
      </c>
      <c r="C2" t="s">
        <v>278</v>
      </c>
      <c r="D2" t="s">
        <v>324</v>
      </c>
      <c r="E2">
        <v>3</v>
      </c>
      <c r="F2">
        <v>3</v>
      </c>
      <c r="G2">
        <v>2224</v>
      </c>
      <c r="H2">
        <v>1917</v>
      </c>
      <c r="I2" s="2">
        <v>45334</v>
      </c>
      <c r="J2" t="s">
        <v>566</v>
      </c>
      <c r="K2" t="s">
        <v>571</v>
      </c>
      <c r="L2">
        <v>1018653</v>
      </c>
      <c r="M2">
        <v>458.03</v>
      </c>
      <c r="N2">
        <v>54</v>
      </c>
      <c r="O2">
        <v>37.676000000000002</v>
      </c>
      <c r="P2">
        <v>-122.411</v>
      </c>
      <c r="Q2" t="s">
        <v>575</v>
      </c>
    </row>
    <row r="3" spans="1:17" x14ac:dyDescent="0.3">
      <c r="A3" t="s">
        <v>18</v>
      </c>
      <c r="B3" t="s">
        <v>268</v>
      </c>
      <c r="C3" t="s">
        <v>279</v>
      </c>
      <c r="D3" t="s">
        <v>325</v>
      </c>
      <c r="E3">
        <v>2</v>
      </c>
      <c r="F3">
        <v>1</v>
      </c>
      <c r="G3">
        <v>2181</v>
      </c>
      <c r="H3">
        <v>1989</v>
      </c>
      <c r="I3" s="2">
        <v>44819</v>
      </c>
      <c r="J3" t="s">
        <v>567</v>
      </c>
      <c r="K3" t="s">
        <v>571</v>
      </c>
      <c r="L3">
        <v>868484</v>
      </c>
      <c r="M3">
        <v>398.2</v>
      </c>
      <c r="N3">
        <v>27</v>
      </c>
      <c r="O3">
        <v>47.555999999999997</v>
      </c>
      <c r="P3">
        <v>-122.256</v>
      </c>
      <c r="Q3" t="s">
        <v>575</v>
      </c>
    </row>
    <row r="4" spans="1:17" x14ac:dyDescent="0.3">
      <c r="A4" t="s">
        <v>19</v>
      </c>
      <c r="B4" t="s">
        <v>269</v>
      </c>
      <c r="C4" t="s">
        <v>280</v>
      </c>
      <c r="D4" t="s">
        <v>326</v>
      </c>
      <c r="E4">
        <v>2</v>
      </c>
      <c r="F4">
        <v>2</v>
      </c>
      <c r="G4">
        <v>2195</v>
      </c>
      <c r="H4">
        <v>1997</v>
      </c>
      <c r="I4" s="2">
        <v>43519</v>
      </c>
      <c r="J4" t="s">
        <v>566</v>
      </c>
      <c r="K4" t="s">
        <v>571</v>
      </c>
      <c r="L4">
        <v>1167604</v>
      </c>
      <c r="M4">
        <v>531.94000000000005</v>
      </c>
      <c r="N4">
        <v>20</v>
      </c>
      <c r="O4">
        <v>39.712000000000003</v>
      </c>
      <c r="P4">
        <v>-105.021</v>
      </c>
      <c r="Q4" t="s">
        <v>576</v>
      </c>
    </row>
    <row r="5" spans="1:17" x14ac:dyDescent="0.3">
      <c r="A5" t="s">
        <v>20</v>
      </c>
      <c r="B5" t="s">
        <v>270</v>
      </c>
      <c r="C5" t="s">
        <v>281</v>
      </c>
      <c r="D5" t="s">
        <v>327</v>
      </c>
      <c r="E5">
        <v>1</v>
      </c>
      <c r="F5">
        <v>1</v>
      </c>
      <c r="G5">
        <v>1636</v>
      </c>
      <c r="H5">
        <v>1948</v>
      </c>
      <c r="I5" s="2">
        <v>45362</v>
      </c>
      <c r="J5" t="s">
        <v>568</v>
      </c>
      <c r="K5" t="s">
        <v>572</v>
      </c>
      <c r="L5">
        <v>755720</v>
      </c>
      <c r="M5">
        <v>461.93</v>
      </c>
      <c r="N5">
        <v>21</v>
      </c>
      <c r="O5">
        <v>40.734000000000002</v>
      </c>
      <c r="P5">
        <v>-73.938000000000002</v>
      </c>
      <c r="Q5" t="s">
        <v>577</v>
      </c>
    </row>
    <row r="6" spans="1:17" x14ac:dyDescent="0.3">
      <c r="A6" t="s">
        <v>21</v>
      </c>
      <c r="B6" t="s">
        <v>268</v>
      </c>
      <c r="C6" t="s">
        <v>282</v>
      </c>
      <c r="D6" t="s">
        <v>328</v>
      </c>
      <c r="E6">
        <v>3</v>
      </c>
      <c r="G6">
        <v>2160</v>
      </c>
      <c r="H6">
        <v>2009</v>
      </c>
      <c r="I6" s="2">
        <v>43514</v>
      </c>
      <c r="J6" t="s">
        <v>569</v>
      </c>
      <c r="K6" t="s">
        <v>571</v>
      </c>
      <c r="L6">
        <v>800936</v>
      </c>
      <c r="M6">
        <v>370.8</v>
      </c>
      <c r="N6">
        <v>16</v>
      </c>
      <c r="O6">
        <v>47.627000000000002</v>
      </c>
      <c r="P6">
        <v>-122.357</v>
      </c>
      <c r="Q6" t="s">
        <v>576</v>
      </c>
    </row>
    <row r="7" spans="1:17" x14ac:dyDescent="0.3">
      <c r="A7" t="s">
        <v>22</v>
      </c>
      <c r="B7" t="s">
        <v>271</v>
      </c>
      <c r="C7" t="s">
        <v>283</v>
      </c>
      <c r="D7" t="s">
        <v>329</v>
      </c>
      <c r="E7">
        <v>5</v>
      </c>
      <c r="F7">
        <v>4</v>
      </c>
      <c r="G7">
        <v>2559</v>
      </c>
      <c r="H7">
        <v>1968</v>
      </c>
      <c r="I7" s="2">
        <v>43770</v>
      </c>
      <c r="J7" t="s">
        <v>569</v>
      </c>
      <c r="K7" t="s">
        <v>571</v>
      </c>
      <c r="L7">
        <v>1503294</v>
      </c>
      <c r="M7">
        <v>587.45000000000005</v>
      </c>
      <c r="N7">
        <v>44</v>
      </c>
      <c r="O7">
        <v>42.457999999999998</v>
      </c>
      <c r="P7">
        <v>-71.031999999999996</v>
      </c>
      <c r="Q7" t="s">
        <v>577</v>
      </c>
    </row>
    <row r="8" spans="1:17" x14ac:dyDescent="0.3">
      <c r="A8" t="s">
        <v>23</v>
      </c>
      <c r="B8" t="s">
        <v>268</v>
      </c>
      <c r="C8" t="s">
        <v>282</v>
      </c>
      <c r="D8" t="s">
        <v>330</v>
      </c>
      <c r="E8">
        <v>1</v>
      </c>
      <c r="F8">
        <v>1</v>
      </c>
      <c r="G8">
        <v>1273</v>
      </c>
      <c r="H8">
        <v>1951</v>
      </c>
      <c r="I8" s="2">
        <v>43372</v>
      </c>
      <c r="J8" t="s">
        <v>567</v>
      </c>
      <c r="K8" t="s">
        <v>572</v>
      </c>
      <c r="L8">
        <v>371808</v>
      </c>
      <c r="M8">
        <v>292.07</v>
      </c>
      <c r="N8">
        <v>78</v>
      </c>
      <c r="O8">
        <v>47.613</v>
      </c>
      <c r="P8">
        <v>-122.286</v>
      </c>
      <c r="Q8" t="s">
        <v>575</v>
      </c>
    </row>
    <row r="9" spans="1:17" x14ac:dyDescent="0.3">
      <c r="A9" t="s">
        <v>24</v>
      </c>
      <c r="B9" t="s">
        <v>272</v>
      </c>
      <c r="C9" t="s">
        <v>284</v>
      </c>
      <c r="D9" t="s">
        <v>331</v>
      </c>
      <c r="E9">
        <v>2</v>
      </c>
      <c r="F9">
        <v>2</v>
      </c>
      <c r="G9">
        <v>1744</v>
      </c>
      <c r="H9">
        <v>1931</v>
      </c>
      <c r="I9" s="2">
        <v>45308</v>
      </c>
      <c r="J9" t="s">
        <v>568</v>
      </c>
      <c r="K9" t="s">
        <v>572</v>
      </c>
      <c r="L9">
        <v>928901</v>
      </c>
      <c r="M9">
        <v>532.63</v>
      </c>
      <c r="N9">
        <v>7</v>
      </c>
      <c r="O9">
        <v>25.745999999999999</v>
      </c>
      <c r="P9">
        <v>-80.173000000000002</v>
      </c>
      <c r="Q9" t="s">
        <v>576</v>
      </c>
    </row>
    <row r="10" spans="1:17" x14ac:dyDescent="0.3">
      <c r="A10" t="s">
        <v>25</v>
      </c>
      <c r="B10" t="s">
        <v>273</v>
      </c>
      <c r="C10" t="s">
        <v>285</v>
      </c>
      <c r="D10" t="s">
        <v>332</v>
      </c>
      <c r="E10">
        <v>1</v>
      </c>
      <c r="F10">
        <v>1</v>
      </c>
      <c r="G10">
        <v>1364</v>
      </c>
      <c r="H10">
        <v>2010</v>
      </c>
      <c r="I10" s="2">
        <v>43727</v>
      </c>
      <c r="J10" t="s">
        <v>567</v>
      </c>
      <c r="K10" t="s">
        <v>572</v>
      </c>
      <c r="L10">
        <v>688281</v>
      </c>
      <c r="M10">
        <v>504.6</v>
      </c>
      <c r="N10">
        <v>0</v>
      </c>
      <c r="O10">
        <v>45.503999999999998</v>
      </c>
      <c r="P10">
        <v>-122.767</v>
      </c>
      <c r="Q10" t="s">
        <v>578</v>
      </c>
    </row>
    <row r="11" spans="1:17" x14ac:dyDescent="0.3">
      <c r="A11" t="s">
        <v>26</v>
      </c>
      <c r="B11" t="s">
        <v>273</v>
      </c>
      <c r="C11" t="s">
        <v>286</v>
      </c>
      <c r="D11" t="s">
        <v>333</v>
      </c>
      <c r="E11">
        <v>5</v>
      </c>
      <c r="F11">
        <v>4</v>
      </c>
      <c r="G11">
        <v>2794</v>
      </c>
      <c r="H11">
        <v>1901</v>
      </c>
      <c r="I11" s="2">
        <v>45300</v>
      </c>
      <c r="J11" t="s">
        <v>568</v>
      </c>
      <c r="K11" t="s">
        <v>572</v>
      </c>
      <c r="L11">
        <v>1904191</v>
      </c>
      <c r="M11">
        <v>681.53</v>
      </c>
      <c r="N11">
        <v>26</v>
      </c>
      <c r="O11">
        <v>45.488</v>
      </c>
      <c r="P11">
        <v>-122.721</v>
      </c>
      <c r="Q11" t="s">
        <v>575</v>
      </c>
    </row>
    <row r="12" spans="1:17" x14ac:dyDescent="0.3">
      <c r="A12" t="s">
        <v>27</v>
      </c>
      <c r="B12" t="s">
        <v>271</v>
      </c>
      <c r="C12" t="s">
        <v>287</v>
      </c>
      <c r="D12" t="s">
        <v>334</v>
      </c>
      <c r="E12">
        <v>2</v>
      </c>
      <c r="F12">
        <v>2</v>
      </c>
      <c r="G12">
        <v>1650</v>
      </c>
      <c r="H12">
        <v>1913</v>
      </c>
      <c r="I12" s="2">
        <v>45180</v>
      </c>
      <c r="J12" t="s">
        <v>570</v>
      </c>
      <c r="K12" t="s">
        <v>573</v>
      </c>
      <c r="M12">
        <v>553.73</v>
      </c>
      <c r="N12">
        <v>34</v>
      </c>
      <c r="O12">
        <v>42.335000000000001</v>
      </c>
      <c r="P12">
        <v>-71.128</v>
      </c>
      <c r="Q12" t="s">
        <v>577</v>
      </c>
    </row>
    <row r="13" spans="1:17" x14ac:dyDescent="0.3">
      <c r="A13" t="s">
        <v>28</v>
      </c>
      <c r="B13" t="s">
        <v>269</v>
      </c>
      <c r="C13" t="s">
        <v>288</v>
      </c>
      <c r="D13" t="s">
        <v>335</v>
      </c>
      <c r="E13">
        <v>1</v>
      </c>
      <c r="F13">
        <v>1</v>
      </c>
      <c r="G13">
        <v>1236</v>
      </c>
      <c r="H13">
        <v>1946</v>
      </c>
      <c r="I13" s="2">
        <v>44081</v>
      </c>
      <c r="J13" t="s">
        <v>566</v>
      </c>
      <c r="K13" t="s">
        <v>573</v>
      </c>
      <c r="L13">
        <v>597141</v>
      </c>
      <c r="M13">
        <v>483.12</v>
      </c>
      <c r="N13">
        <v>1</v>
      </c>
      <c r="O13">
        <v>39.753</v>
      </c>
      <c r="P13">
        <v>-105.074</v>
      </c>
      <c r="Q13" t="s">
        <v>579</v>
      </c>
    </row>
    <row r="14" spans="1:17" x14ac:dyDescent="0.3">
      <c r="A14" t="s">
        <v>29</v>
      </c>
      <c r="B14" t="s">
        <v>273</v>
      </c>
      <c r="C14" t="s">
        <v>289</v>
      </c>
      <c r="D14" t="s">
        <v>336</v>
      </c>
      <c r="E14">
        <v>2</v>
      </c>
      <c r="F14">
        <v>1</v>
      </c>
      <c r="G14">
        <v>1852</v>
      </c>
      <c r="H14">
        <v>1970</v>
      </c>
      <c r="I14" s="2">
        <v>44186</v>
      </c>
      <c r="J14" t="s">
        <v>570</v>
      </c>
      <c r="K14" t="s">
        <v>572</v>
      </c>
      <c r="L14">
        <v>883485</v>
      </c>
      <c r="M14">
        <v>477.04</v>
      </c>
      <c r="N14">
        <v>4</v>
      </c>
      <c r="O14">
        <v>45.505000000000003</v>
      </c>
      <c r="P14">
        <v>-122.738</v>
      </c>
      <c r="Q14" t="s">
        <v>577</v>
      </c>
    </row>
    <row r="15" spans="1:17" x14ac:dyDescent="0.3">
      <c r="A15" t="s">
        <v>30</v>
      </c>
      <c r="B15" t="s">
        <v>271</v>
      </c>
      <c r="C15" t="s">
        <v>290</v>
      </c>
      <c r="D15" t="s">
        <v>337</v>
      </c>
      <c r="E15">
        <v>3</v>
      </c>
      <c r="F15">
        <v>3</v>
      </c>
      <c r="G15">
        <v>2149</v>
      </c>
      <c r="H15">
        <v>1966</v>
      </c>
      <c r="I15" s="2">
        <v>43596</v>
      </c>
      <c r="J15" t="s">
        <v>567</v>
      </c>
      <c r="K15" t="s">
        <v>573</v>
      </c>
      <c r="L15">
        <v>1213028</v>
      </c>
      <c r="M15">
        <v>564.46</v>
      </c>
      <c r="N15">
        <v>40</v>
      </c>
      <c r="O15">
        <v>42.328000000000003</v>
      </c>
      <c r="P15">
        <v>-71.042000000000002</v>
      </c>
      <c r="Q15" t="s">
        <v>575</v>
      </c>
    </row>
    <row r="16" spans="1:17" x14ac:dyDescent="0.3">
      <c r="A16" t="s">
        <v>31</v>
      </c>
      <c r="B16" t="s">
        <v>268</v>
      </c>
      <c r="C16" t="s">
        <v>291</v>
      </c>
      <c r="D16" t="s">
        <v>338</v>
      </c>
      <c r="E16">
        <v>1</v>
      </c>
      <c r="F16">
        <v>1</v>
      </c>
      <c r="G16">
        <v>1471</v>
      </c>
      <c r="H16">
        <v>2015</v>
      </c>
      <c r="I16" s="2">
        <v>44454</v>
      </c>
      <c r="J16" t="s">
        <v>566</v>
      </c>
      <c r="K16" t="s">
        <v>571</v>
      </c>
      <c r="L16">
        <v>479256</v>
      </c>
      <c r="M16">
        <v>325.8</v>
      </c>
      <c r="N16">
        <v>9</v>
      </c>
      <c r="O16">
        <v>47.555999999999997</v>
      </c>
      <c r="P16">
        <v>-122.333</v>
      </c>
      <c r="Q16" t="s">
        <v>577</v>
      </c>
    </row>
    <row r="17" spans="1:17" x14ac:dyDescent="0.3">
      <c r="A17" t="s">
        <v>32</v>
      </c>
      <c r="B17" t="s">
        <v>274</v>
      </c>
      <c r="C17" t="s">
        <v>292</v>
      </c>
      <c r="D17" t="s">
        <v>339</v>
      </c>
      <c r="E17">
        <v>2</v>
      </c>
      <c r="F17">
        <v>1</v>
      </c>
      <c r="G17">
        <v>1620</v>
      </c>
      <c r="H17">
        <v>2003</v>
      </c>
      <c r="I17" s="2">
        <v>43880</v>
      </c>
      <c r="J17" t="s">
        <v>566</v>
      </c>
      <c r="K17" t="s">
        <v>573</v>
      </c>
      <c r="L17">
        <v>917117</v>
      </c>
      <c r="M17">
        <v>566.12</v>
      </c>
      <c r="N17">
        <v>66</v>
      </c>
      <c r="O17">
        <v>34.036000000000001</v>
      </c>
      <c r="P17">
        <v>-118.255</v>
      </c>
      <c r="Q17" t="s">
        <v>578</v>
      </c>
    </row>
    <row r="18" spans="1:17" x14ac:dyDescent="0.3">
      <c r="A18" t="s">
        <v>33</v>
      </c>
      <c r="B18" t="s">
        <v>267</v>
      </c>
      <c r="C18" t="s">
        <v>278</v>
      </c>
      <c r="D18" t="s">
        <v>340</v>
      </c>
      <c r="E18">
        <v>4</v>
      </c>
      <c r="F18">
        <v>3</v>
      </c>
      <c r="G18">
        <v>2486</v>
      </c>
      <c r="H18">
        <v>2002</v>
      </c>
      <c r="I18" s="2">
        <v>44119</v>
      </c>
      <c r="J18" t="s">
        <v>567</v>
      </c>
      <c r="K18" t="s">
        <v>573</v>
      </c>
      <c r="L18">
        <v>1103375</v>
      </c>
      <c r="M18">
        <v>443.84</v>
      </c>
      <c r="N18">
        <v>44</v>
      </c>
      <c r="O18">
        <v>37.76</v>
      </c>
      <c r="P18">
        <v>-122.346</v>
      </c>
      <c r="Q18" t="s">
        <v>576</v>
      </c>
    </row>
    <row r="19" spans="1:17" x14ac:dyDescent="0.3">
      <c r="A19" t="s">
        <v>34</v>
      </c>
      <c r="B19" t="s">
        <v>267</v>
      </c>
      <c r="C19" t="s">
        <v>293</v>
      </c>
      <c r="D19" t="s">
        <v>341</v>
      </c>
      <c r="E19">
        <v>5</v>
      </c>
      <c r="F19">
        <v>5</v>
      </c>
      <c r="G19">
        <v>2604</v>
      </c>
      <c r="H19">
        <v>1983</v>
      </c>
      <c r="I19" s="2">
        <v>43161</v>
      </c>
      <c r="J19" t="s">
        <v>566</v>
      </c>
      <c r="K19" t="s">
        <v>572</v>
      </c>
      <c r="L19">
        <v>1429399</v>
      </c>
      <c r="M19">
        <v>548.91999999999996</v>
      </c>
      <c r="N19">
        <v>53</v>
      </c>
      <c r="O19">
        <v>37.840000000000003</v>
      </c>
      <c r="P19">
        <v>-122.39700000000001</v>
      </c>
      <c r="Q19" t="s">
        <v>578</v>
      </c>
    </row>
    <row r="20" spans="1:17" x14ac:dyDescent="0.3">
      <c r="A20" t="s">
        <v>35</v>
      </c>
      <c r="B20" t="s">
        <v>272</v>
      </c>
      <c r="C20" t="s">
        <v>294</v>
      </c>
      <c r="D20" t="s">
        <v>342</v>
      </c>
      <c r="E20">
        <v>2</v>
      </c>
      <c r="F20">
        <v>2</v>
      </c>
      <c r="G20">
        <v>2058</v>
      </c>
      <c r="H20">
        <v>1949</v>
      </c>
      <c r="I20" s="2">
        <v>44964</v>
      </c>
      <c r="J20" t="s">
        <v>568</v>
      </c>
      <c r="K20" t="s">
        <v>571</v>
      </c>
      <c r="L20">
        <v>1143686</v>
      </c>
      <c r="M20">
        <v>555.73</v>
      </c>
      <c r="N20">
        <v>9</v>
      </c>
      <c r="O20">
        <v>25.850999999999999</v>
      </c>
      <c r="P20">
        <v>-80.090999999999994</v>
      </c>
      <c r="Q20" t="s">
        <v>577</v>
      </c>
    </row>
    <row r="21" spans="1:17" x14ac:dyDescent="0.3">
      <c r="A21" t="s">
        <v>36</v>
      </c>
      <c r="B21" t="s">
        <v>275</v>
      </c>
      <c r="C21" t="s">
        <v>295</v>
      </c>
      <c r="D21" t="s">
        <v>343</v>
      </c>
      <c r="E21">
        <v>3</v>
      </c>
      <c r="F21">
        <v>3</v>
      </c>
      <c r="G21">
        <v>2023</v>
      </c>
      <c r="H21">
        <v>1907</v>
      </c>
      <c r="I21" s="2">
        <v>45321</v>
      </c>
      <c r="J21" t="s">
        <v>566</v>
      </c>
      <c r="K21" t="s">
        <v>572</v>
      </c>
      <c r="L21">
        <v>1035526</v>
      </c>
      <c r="M21">
        <v>511.88</v>
      </c>
      <c r="N21">
        <v>64</v>
      </c>
      <c r="O21">
        <v>30.181000000000001</v>
      </c>
      <c r="P21">
        <v>-97.722999999999999</v>
      </c>
      <c r="Q21" t="s">
        <v>577</v>
      </c>
    </row>
    <row r="22" spans="1:17" x14ac:dyDescent="0.3">
      <c r="A22" t="s">
        <v>37</v>
      </c>
      <c r="B22" t="s">
        <v>275</v>
      </c>
      <c r="C22" t="s">
        <v>296</v>
      </c>
      <c r="D22" t="s">
        <v>344</v>
      </c>
      <c r="E22">
        <v>5</v>
      </c>
      <c r="F22">
        <v>5</v>
      </c>
      <c r="G22">
        <v>2580</v>
      </c>
      <c r="H22">
        <v>1923</v>
      </c>
      <c r="I22" s="2">
        <v>45538</v>
      </c>
      <c r="J22" t="s">
        <v>566</v>
      </c>
      <c r="K22" t="s">
        <v>571</v>
      </c>
      <c r="L22">
        <v>1488630</v>
      </c>
      <c r="M22">
        <v>576.99</v>
      </c>
      <c r="N22">
        <v>1</v>
      </c>
      <c r="O22">
        <v>30.216999999999999</v>
      </c>
      <c r="P22">
        <v>-97.816000000000003</v>
      </c>
      <c r="Q22" t="s">
        <v>577</v>
      </c>
    </row>
    <row r="23" spans="1:17" x14ac:dyDescent="0.3">
      <c r="A23" t="s">
        <v>38</v>
      </c>
      <c r="B23" t="s">
        <v>274</v>
      </c>
      <c r="C23" t="s">
        <v>297</v>
      </c>
      <c r="D23" t="s">
        <v>345</v>
      </c>
      <c r="E23">
        <v>5</v>
      </c>
      <c r="F23">
        <v>5</v>
      </c>
      <c r="G23">
        <v>2401</v>
      </c>
      <c r="H23">
        <v>1984</v>
      </c>
      <c r="I23" s="2">
        <v>45416</v>
      </c>
      <c r="J23" t="s">
        <v>570</v>
      </c>
      <c r="K23" t="s">
        <v>571</v>
      </c>
      <c r="L23">
        <v>1850214</v>
      </c>
      <c r="M23">
        <v>770.6</v>
      </c>
      <c r="N23">
        <v>75</v>
      </c>
      <c r="O23">
        <v>34.002000000000002</v>
      </c>
      <c r="P23">
        <v>-118.206</v>
      </c>
      <c r="Q23" t="s">
        <v>576</v>
      </c>
    </row>
    <row r="24" spans="1:17" x14ac:dyDescent="0.3">
      <c r="A24" t="s">
        <v>39</v>
      </c>
      <c r="B24" t="s">
        <v>272</v>
      </c>
      <c r="C24" t="s">
        <v>298</v>
      </c>
      <c r="D24" t="s">
        <v>346</v>
      </c>
      <c r="E24">
        <v>3</v>
      </c>
      <c r="F24">
        <v>3</v>
      </c>
      <c r="G24">
        <v>2082</v>
      </c>
      <c r="H24">
        <v>2018</v>
      </c>
      <c r="I24" s="2">
        <v>43139</v>
      </c>
      <c r="J24" t="s">
        <v>569</v>
      </c>
      <c r="K24" t="s">
        <v>571</v>
      </c>
      <c r="L24">
        <v>1254774</v>
      </c>
      <c r="M24">
        <v>602.67999999999995</v>
      </c>
      <c r="N24">
        <v>45</v>
      </c>
      <c r="O24">
        <v>25.773</v>
      </c>
      <c r="P24">
        <v>-80.27</v>
      </c>
      <c r="Q24" t="s">
        <v>577</v>
      </c>
    </row>
    <row r="25" spans="1:17" x14ac:dyDescent="0.3">
      <c r="A25" t="s">
        <v>40</v>
      </c>
      <c r="B25" t="s">
        <v>271</v>
      </c>
      <c r="C25" t="s">
        <v>299</v>
      </c>
      <c r="D25" t="s">
        <v>347</v>
      </c>
      <c r="E25">
        <v>3</v>
      </c>
      <c r="F25">
        <v>2</v>
      </c>
      <c r="G25">
        <v>1939</v>
      </c>
      <c r="H25">
        <v>2012</v>
      </c>
      <c r="I25" s="2">
        <v>44614</v>
      </c>
      <c r="J25" t="s">
        <v>568</v>
      </c>
      <c r="K25" t="s">
        <v>573</v>
      </c>
      <c r="L25">
        <v>1050825</v>
      </c>
      <c r="M25">
        <v>541.94000000000005</v>
      </c>
      <c r="N25">
        <v>81</v>
      </c>
      <c r="O25">
        <v>42.427</v>
      </c>
      <c r="P25">
        <v>-71.019000000000005</v>
      </c>
      <c r="Q25" t="s">
        <v>577</v>
      </c>
    </row>
    <row r="26" spans="1:17" x14ac:dyDescent="0.3">
      <c r="A26" t="s">
        <v>41</v>
      </c>
      <c r="B26" t="s">
        <v>268</v>
      </c>
      <c r="C26" t="s">
        <v>279</v>
      </c>
      <c r="D26" t="s">
        <v>348</v>
      </c>
      <c r="E26">
        <v>3</v>
      </c>
      <c r="F26">
        <v>2</v>
      </c>
      <c r="G26">
        <v>2091</v>
      </c>
      <c r="H26">
        <v>1913</v>
      </c>
      <c r="I26" s="2">
        <v>44184</v>
      </c>
      <c r="J26" t="s">
        <v>566</v>
      </c>
      <c r="K26" t="s">
        <v>572</v>
      </c>
      <c r="L26">
        <v>1061483</v>
      </c>
      <c r="M26">
        <v>507.64</v>
      </c>
      <c r="N26">
        <v>43</v>
      </c>
      <c r="O26">
        <v>47.648000000000003</v>
      </c>
      <c r="P26">
        <v>-122.399</v>
      </c>
      <c r="Q26" t="s">
        <v>576</v>
      </c>
    </row>
    <row r="27" spans="1:17" x14ac:dyDescent="0.3">
      <c r="A27" t="s">
        <v>42</v>
      </c>
      <c r="B27" t="s">
        <v>269</v>
      </c>
      <c r="C27" t="s">
        <v>291</v>
      </c>
      <c r="D27" t="s">
        <v>349</v>
      </c>
      <c r="E27">
        <v>3</v>
      </c>
      <c r="F27">
        <v>3</v>
      </c>
      <c r="G27">
        <v>2305</v>
      </c>
      <c r="H27">
        <v>1932</v>
      </c>
      <c r="I27" s="2">
        <v>43479</v>
      </c>
      <c r="J27" t="s">
        <v>569</v>
      </c>
      <c r="K27" t="s">
        <v>572</v>
      </c>
      <c r="L27">
        <v>1257994</v>
      </c>
      <c r="M27">
        <v>545.77</v>
      </c>
      <c r="N27">
        <v>26</v>
      </c>
      <c r="O27">
        <v>39.649000000000001</v>
      </c>
      <c r="P27">
        <v>-105.023</v>
      </c>
      <c r="Q27" t="s">
        <v>575</v>
      </c>
    </row>
    <row r="28" spans="1:17" x14ac:dyDescent="0.3">
      <c r="A28" t="s">
        <v>43</v>
      </c>
      <c r="B28" t="s">
        <v>275</v>
      </c>
      <c r="D28" t="s">
        <v>350</v>
      </c>
      <c r="E28">
        <v>5</v>
      </c>
      <c r="F28">
        <v>4</v>
      </c>
      <c r="G28">
        <v>2723</v>
      </c>
      <c r="H28">
        <v>1971</v>
      </c>
      <c r="I28" s="2">
        <v>43559</v>
      </c>
      <c r="J28" t="s">
        <v>566</v>
      </c>
      <c r="K28" t="s">
        <v>572</v>
      </c>
      <c r="L28">
        <v>1369363</v>
      </c>
      <c r="M28">
        <v>502.89</v>
      </c>
      <c r="N28">
        <v>28</v>
      </c>
      <c r="O28">
        <v>30.308</v>
      </c>
      <c r="P28">
        <v>-97.81</v>
      </c>
    </row>
    <row r="29" spans="1:17" x14ac:dyDescent="0.3">
      <c r="A29" t="s">
        <v>44</v>
      </c>
      <c r="B29" t="s">
        <v>274</v>
      </c>
      <c r="C29" t="s">
        <v>296</v>
      </c>
      <c r="D29" t="s">
        <v>351</v>
      </c>
      <c r="E29">
        <v>2</v>
      </c>
      <c r="F29">
        <v>2</v>
      </c>
      <c r="G29">
        <v>1889</v>
      </c>
      <c r="H29">
        <v>1905</v>
      </c>
      <c r="I29" s="2">
        <v>44594</v>
      </c>
      <c r="J29" t="s">
        <v>566</v>
      </c>
      <c r="K29" t="s">
        <v>572</v>
      </c>
      <c r="L29">
        <v>1207273</v>
      </c>
      <c r="M29">
        <v>639.11</v>
      </c>
      <c r="N29">
        <v>19</v>
      </c>
      <c r="O29">
        <v>33.991999999999997</v>
      </c>
      <c r="P29">
        <v>-118.29</v>
      </c>
    </row>
    <row r="30" spans="1:17" x14ac:dyDescent="0.3">
      <c r="A30" t="s">
        <v>45</v>
      </c>
      <c r="B30" t="s">
        <v>272</v>
      </c>
      <c r="C30" t="s">
        <v>300</v>
      </c>
      <c r="D30" t="s">
        <v>352</v>
      </c>
      <c r="E30">
        <v>2</v>
      </c>
      <c r="F30">
        <v>1</v>
      </c>
      <c r="G30">
        <v>1598</v>
      </c>
      <c r="H30">
        <v>1930</v>
      </c>
      <c r="I30" s="2">
        <v>43826</v>
      </c>
      <c r="J30" t="s">
        <v>569</v>
      </c>
      <c r="K30" t="s">
        <v>573</v>
      </c>
      <c r="L30">
        <v>789649</v>
      </c>
      <c r="M30">
        <v>494.15</v>
      </c>
      <c r="N30">
        <v>62</v>
      </c>
      <c r="O30">
        <v>25.806999999999999</v>
      </c>
      <c r="P30">
        <v>-80.224000000000004</v>
      </c>
      <c r="Q30" t="s">
        <v>578</v>
      </c>
    </row>
    <row r="31" spans="1:17" x14ac:dyDescent="0.3">
      <c r="A31" t="s">
        <v>46</v>
      </c>
      <c r="B31" t="s">
        <v>271</v>
      </c>
      <c r="C31" t="s">
        <v>299</v>
      </c>
      <c r="D31" t="s">
        <v>353</v>
      </c>
      <c r="E31">
        <v>1</v>
      </c>
      <c r="F31">
        <v>1</v>
      </c>
      <c r="G31">
        <v>1582</v>
      </c>
      <c r="H31">
        <v>1904</v>
      </c>
      <c r="I31" s="2">
        <v>44012</v>
      </c>
      <c r="J31" t="s">
        <v>567</v>
      </c>
      <c r="K31" t="s">
        <v>572</v>
      </c>
      <c r="L31">
        <v>657885</v>
      </c>
      <c r="M31">
        <v>415.86</v>
      </c>
      <c r="N31">
        <v>50</v>
      </c>
      <c r="O31">
        <v>42.351999999999997</v>
      </c>
      <c r="P31">
        <v>-71.099000000000004</v>
      </c>
      <c r="Q31" t="s">
        <v>575</v>
      </c>
    </row>
    <row r="32" spans="1:17" x14ac:dyDescent="0.3">
      <c r="A32" t="s">
        <v>47</v>
      </c>
      <c r="B32" t="s">
        <v>276</v>
      </c>
      <c r="C32" t="s">
        <v>301</v>
      </c>
      <c r="D32" t="s">
        <v>354</v>
      </c>
      <c r="E32">
        <v>3</v>
      </c>
      <c r="F32">
        <v>3</v>
      </c>
      <c r="G32">
        <v>2124</v>
      </c>
      <c r="H32">
        <v>1908</v>
      </c>
      <c r="I32" s="2">
        <v>44539</v>
      </c>
      <c r="J32" t="s">
        <v>570</v>
      </c>
      <c r="K32" t="s">
        <v>571</v>
      </c>
      <c r="L32">
        <v>1164368</v>
      </c>
      <c r="M32">
        <v>548.20000000000005</v>
      </c>
      <c r="N32">
        <v>13</v>
      </c>
      <c r="O32">
        <v>41.975999999999999</v>
      </c>
      <c r="P32">
        <v>-87.613</v>
      </c>
    </row>
    <row r="33" spans="1:17" x14ac:dyDescent="0.3">
      <c r="A33" t="s">
        <v>48</v>
      </c>
      <c r="B33" t="s">
        <v>275</v>
      </c>
      <c r="C33" t="s">
        <v>302</v>
      </c>
      <c r="D33" t="s">
        <v>355</v>
      </c>
      <c r="E33">
        <v>3</v>
      </c>
      <c r="F33">
        <v>3</v>
      </c>
      <c r="G33">
        <v>2018</v>
      </c>
      <c r="H33">
        <v>1976</v>
      </c>
      <c r="I33" s="2">
        <v>44516</v>
      </c>
      <c r="J33" t="s">
        <v>568</v>
      </c>
      <c r="K33" t="s">
        <v>571</v>
      </c>
      <c r="L33">
        <v>965011</v>
      </c>
      <c r="M33">
        <v>478.2</v>
      </c>
      <c r="N33">
        <v>8</v>
      </c>
      <c r="O33">
        <v>30.367000000000001</v>
      </c>
      <c r="P33">
        <v>-97.816999999999993</v>
      </c>
      <c r="Q33" t="s">
        <v>577</v>
      </c>
    </row>
    <row r="34" spans="1:17" x14ac:dyDescent="0.3">
      <c r="A34" t="s">
        <v>49</v>
      </c>
      <c r="B34" t="s">
        <v>268</v>
      </c>
      <c r="C34" t="s">
        <v>303</v>
      </c>
      <c r="D34" t="s">
        <v>356</v>
      </c>
      <c r="E34">
        <v>1</v>
      </c>
      <c r="F34">
        <v>1</v>
      </c>
      <c r="G34">
        <v>1574</v>
      </c>
      <c r="H34">
        <v>2003</v>
      </c>
      <c r="I34" s="2">
        <v>43908</v>
      </c>
      <c r="J34" t="s">
        <v>568</v>
      </c>
      <c r="K34" t="s">
        <v>571</v>
      </c>
      <c r="L34">
        <v>581927</v>
      </c>
      <c r="M34">
        <v>369.71</v>
      </c>
      <c r="N34">
        <v>35</v>
      </c>
      <c r="O34">
        <v>47.69</v>
      </c>
      <c r="P34">
        <v>-122.246</v>
      </c>
      <c r="Q34" t="s">
        <v>577</v>
      </c>
    </row>
    <row r="35" spans="1:17" x14ac:dyDescent="0.3">
      <c r="A35" t="s">
        <v>50</v>
      </c>
      <c r="B35" t="s">
        <v>271</v>
      </c>
      <c r="C35" t="s">
        <v>287</v>
      </c>
      <c r="D35" t="s">
        <v>357</v>
      </c>
      <c r="E35">
        <v>3</v>
      </c>
      <c r="F35">
        <v>2</v>
      </c>
      <c r="G35">
        <v>2041</v>
      </c>
      <c r="H35">
        <v>1941</v>
      </c>
      <c r="I35" s="2">
        <v>44312</v>
      </c>
      <c r="J35" t="s">
        <v>570</v>
      </c>
      <c r="K35" t="s">
        <v>573</v>
      </c>
      <c r="L35">
        <v>971764</v>
      </c>
      <c r="M35">
        <v>476.12</v>
      </c>
      <c r="N35">
        <v>22</v>
      </c>
      <c r="O35">
        <v>42.344000000000001</v>
      </c>
      <c r="P35">
        <v>-70.971999999999994</v>
      </c>
      <c r="Q35" t="s">
        <v>579</v>
      </c>
    </row>
    <row r="36" spans="1:17" x14ac:dyDescent="0.3">
      <c r="A36" t="s">
        <v>51</v>
      </c>
      <c r="B36" t="s">
        <v>274</v>
      </c>
      <c r="C36" t="s">
        <v>296</v>
      </c>
      <c r="D36" t="s">
        <v>358</v>
      </c>
      <c r="E36">
        <v>3</v>
      </c>
      <c r="F36">
        <v>3</v>
      </c>
      <c r="G36">
        <v>2014</v>
      </c>
      <c r="H36">
        <v>2006</v>
      </c>
      <c r="I36" s="2">
        <v>44345</v>
      </c>
      <c r="J36" t="s">
        <v>568</v>
      </c>
      <c r="K36" t="s">
        <v>573</v>
      </c>
      <c r="L36">
        <v>1184398</v>
      </c>
      <c r="M36">
        <v>588.08000000000004</v>
      </c>
      <c r="N36">
        <v>30</v>
      </c>
      <c r="O36">
        <v>34.106999999999999</v>
      </c>
      <c r="P36">
        <v>-118.21899999999999</v>
      </c>
      <c r="Q36" t="s">
        <v>576</v>
      </c>
    </row>
    <row r="37" spans="1:17" x14ac:dyDescent="0.3">
      <c r="A37" t="s">
        <v>52</v>
      </c>
      <c r="B37" t="s">
        <v>270</v>
      </c>
      <c r="C37" t="s">
        <v>304</v>
      </c>
      <c r="D37" t="s">
        <v>359</v>
      </c>
      <c r="E37">
        <v>5</v>
      </c>
      <c r="F37">
        <v>5</v>
      </c>
      <c r="G37">
        <v>2801</v>
      </c>
      <c r="H37">
        <v>2015</v>
      </c>
      <c r="I37" s="2">
        <v>43448</v>
      </c>
      <c r="J37" t="s">
        <v>568</v>
      </c>
      <c r="K37" t="s">
        <v>571</v>
      </c>
      <c r="L37">
        <v>2133885</v>
      </c>
      <c r="M37">
        <v>761.83</v>
      </c>
      <c r="N37">
        <v>40</v>
      </c>
      <c r="O37">
        <v>40.737000000000002</v>
      </c>
      <c r="P37">
        <v>-74.043000000000006</v>
      </c>
      <c r="Q37" t="s">
        <v>575</v>
      </c>
    </row>
    <row r="38" spans="1:17" x14ac:dyDescent="0.3">
      <c r="A38" t="s">
        <v>53</v>
      </c>
      <c r="B38" t="s">
        <v>276</v>
      </c>
      <c r="C38" t="s">
        <v>305</v>
      </c>
      <c r="D38" t="s">
        <v>360</v>
      </c>
      <c r="E38">
        <v>2</v>
      </c>
      <c r="F38">
        <v>2</v>
      </c>
      <c r="G38">
        <v>1864</v>
      </c>
      <c r="H38">
        <v>1931</v>
      </c>
      <c r="I38" s="2">
        <v>45604</v>
      </c>
      <c r="J38" t="s">
        <v>566</v>
      </c>
      <c r="K38" t="s">
        <v>571</v>
      </c>
      <c r="L38">
        <v>862986</v>
      </c>
      <c r="M38">
        <v>462.98</v>
      </c>
      <c r="N38">
        <v>22</v>
      </c>
      <c r="O38">
        <v>41.957000000000001</v>
      </c>
      <c r="P38">
        <v>-87.605000000000004</v>
      </c>
      <c r="Q38" t="s">
        <v>579</v>
      </c>
    </row>
    <row r="39" spans="1:17" x14ac:dyDescent="0.3">
      <c r="A39" t="s">
        <v>54</v>
      </c>
      <c r="B39" t="s">
        <v>270</v>
      </c>
      <c r="C39" t="s">
        <v>306</v>
      </c>
      <c r="D39" t="s">
        <v>361</v>
      </c>
      <c r="E39">
        <v>2</v>
      </c>
      <c r="F39">
        <v>2</v>
      </c>
      <c r="G39">
        <v>1793</v>
      </c>
      <c r="H39">
        <v>1988</v>
      </c>
      <c r="I39" s="2">
        <v>43537</v>
      </c>
      <c r="J39" t="s">
        <v>569</v>
      </c>
      <c r="K39" t="s">
        <v>573</v>
      </c>
      <c r="L39">
        <v>952169</v>
      </c>
      <c r="M39">
        <v>531.04999999999995</v>
      </c>
      <c r="N39">
        <v>108</v>
      </c>
      <c r="O39">
        <v>40.771000000000001</v>
      </c>
      <c r="P39">
        <v>-73.971000000000004</v>
      </c>
      <c r="Q39" t="s">
        <v>578</v>
      </c>
    </row>
    <row r="40" spans="1:17" x14ac:dyDescent="0.3">
      <c r="A40" t="s">
        <v>55</v>
      </c>
      <c r="B40" t="s">
        <v>276</v>
      </c>
      <c r="C40" t="s">
        <v>307</v>
      </c>
      <c r="D40" t="s">
        <v>362</v>
      </c>
      <c r="E40">
        <v>4</v>
      </c>
      <c r="F40">
        <v>4</v>
      </c>
      <c r="G40">
        <v>2352</v>
      </c>
      <c r="H40">
        <v>1959</v>
      </c>
      <c r="I40" s="2">
        <v>45390</v>
      </c>
      <c r="J40" t="s">
        <v>570</v>
      </c>
      <c r="K40" t="s">
        <v>571</v>
      </c>
      <c r="L40">
        <v>1360152</v>
      </c>
      <c r="M40">
        <v>578.29999999999995</v>
      </c>
      <c r="N40">
        <v>33</v>
      </c>
      <c r="O40">
        <v>41.930999999999997</v>
      </c>
      <c r="P40">
        <v>-87.631</v>
      </c>
      <c r="Q40" t="s">
        <v>579</v>
      </c>
    </row>
    <row r="41" spans="1:17" x14ac:dyDescent="0.3">
      <c r="A41" t="s">
        <v>56</v>
      </c>
      <c r="B41" t="s">
        <v>273</v>
      </c>
      <c r="C41" t="s">
        <v>285</v>
      </c>
      <c r="D41" t="s">
        <v>363</v>
      </c>
      <c r="E41">
        <v>2</v>
      </c>
      <c r="F41">
        <v>1</v>
      </c>
      <c r="G41">
        <v>1508</v>
      </c>
      <c r="H41">
        <v>1960</v>
      </c>
      <c r="I41" s="2">
        <v>44162</v>
      </c>
      <c r="J41" t="s">
        <v>567</v>
      </c>
      <c r="K41" t="s">
        <v>572</v>
      </c>
      <c r="L41">
        <v>923343</v>
      </c>
      <c r="M41">
        <v>612.29999999999995</v>
      </c>
      <c r="N41">
        <v>57</v>
      </c>
      <c r="O41">
        <v>45.475000000000001</v>
      </c>
      <c r="P41">
        <v>-122.624</v>
      </c>
      <c r="Q41" t="s">
        <v>578</v>
      </c>
    </row>
    <row r="42" spans="1:17" x14ac:dyDescent="0.3">
      <c r="A42" t="s">
        <v>57</v>
      </c>
      <c r="B42" t="s">
        <v>271</v>
      </c>
      <c r="C42" t="s">
        <v>290</v>
      </c>
      <c r="D42" t="s">
        <v>364</v>
      </c>
      <c r="E42">
        <v>1</v>
      </c>
      <c r="F42">
        <v>1</v>
      </c>
      <c r="G42">
        <v>1698</v>
      </c>
      <c r="H42">
        <v>1930</v>
      </c>
      <c r="I42" s="2">
        <v>44476</v>
      </c>
      <c r="J42" t="s">
        <v>568</v>
      </c>
      <c r="K42" t="s">
        <v>572</v>
      </c>
      <c r="L42">
        <v>666819</v>
      </c>
      <c r="M42">
        <v>392.71</v>
      </c>
      <c r="N42">
        <v>77</v>
      </c>
      <c r="O42">
        <v>42.276000000000003</v>
      </c>
      <c r="P42">
        <v>-71.13</v>
      </c>
      <c r="Q42" t="s">
        <v>578</v>
      </c>
    </row>
    <row r="43" spans="1:17" x14ac:dyDescent="0.3">
      <c r="A43" t="s">
        <v>58</v>
      </c>
      <c r="B43" t="s">
        <v>276</v>
      </c>
      <c r="C43" t="s">
        <v>307</v>
      </c>
      <c r="D43" t="s">
        <v>365</v>
      </c>
      <c r="E43">
        <v>4</v>
      </c>
      <c r="F43">
        <v>4</v>
      </c>
      <c r="G43">
        <v>2050</v>
      </c>
      <c r="H43">
        <v>1969</v>
      </c>
      <c r="I43" s="2">
        <v>44804</v>
      </c>
      <c r="J43" t="s">
        <v>566</v>
      </c>
      <c r="K43" t="s">
        <v>573</v>
      </c>
      <c r="L43">
        <v>1205684</v>
      </c>
      <c r="M43">
        <v>588.14</v>
      </c>
      <c r="N43">
        <v>100</v>
      </c>
      <c r="O43">
        <v>41.863999999999997</v>
      </c>
      <c r="P43">
        <v>-87.539000000000001</v>
      </c>
      <c r="Q43" t="s">
        <v>577</v>
      </c>
    </row>
    <row r="44" spans="1:17" x14ac:dyDescent="0.3">
      <c r="A44" t="s">
        <v>59</v>
      </c>
      <c r="B44" t="s">
        <v>274</v>
      </c>
      <c r="C44" t="s">
        <v>292</v>
      </c>
      <c r="D44" t="s">
        <v>366</v>
      </c>
      <c r="E44">
        <v>4</v>
      </c>
      <c r="F44">
        <v>4</v>
      </c>
      <c r="G44">
        <v>2152</v>
      </c>
      <c r="H44">
        <v>1945</v>
      </c>
      <c r="I44" s="2">
        <v>44698</v>
      </c>
      <c r="J44" t="s">
        <v>569</v>
      </c>
      <c r="K44" t="s">
        <v>571</v>
      </c>
      <c r="L44">
        <v>1413433</v>
      </c>
      <c r="M44">
        <v>656.8</v>
      </c>
      <c r="N44">
        <v>37</v>
      </c>
      <c r="O44">
        <v>34.097000000000001</v>
      </c>
      <c r="P44">
        <v>-118.18</v>
      </c>
      <c r="Q44" t="s">
        <v>575</v>
      </c>
    </row>
    <row r="45" spans="1:17" x14ac:dyDescent="0.3">
      <c r="A45" t="s">
        <v>60</v>
      </c>
      <c r="B45" t="s">
        <v>271</v>
      </c>
      <c r="C45" t="s">
        <v>290</v>
      </c>
      <c r="D45" t="s">
        <v>367</v>
      </c>
      <c r="E45">
        <v>4</v>
      </c>
      <c r="F45">
        <v>4</v>
      </c>
      <c r="G45">
        <v>2274</v>
      </c>
      <c r="H45">
        <v>1943</v>
      </c>
      <c r="I45" s="2">
        <v>43777</v>
      </c>
      <c r="J45" t="s">
        <v>569</v>
      </c>
      <c r="K45" t="s">
        <v>572</v>
      </c>
      <c r="L45">
        <v>1184429</v>
      </c>
      <c r="M45">
        <v>520.86</v>
      </c>
      <c r="N45">
        <v>37</v>
      </c>
      <c r="O45">
        <v>42.456000000000003</v>
      </c>
      <c r="P45">
        <v>-71.052999999999997</v>
      </c>
      <c r="Q45" t="s">
        <v>578</v>
      </c>
    </row>
    <row r="46" spans="1:17" x14ac:dyDescent="0.3">
      <c r="A46" t="s">
        <v>61</v>
      </c>
      <c r="B46" t="s">
        <v>268</v>
      </c>
      <c r="C46" t="s">
        <v>291</v>
      </c>
      <c r="D46" t="s">
        <v>368</v>
      </c>
      <c r="E46">
        <v>4</v>
      </c>
      <c r="F46">
        <v>4</v>
      </c>
      <c r="G46">
        <v>2134</v>
      </c>
      <c r="H46">
        <v>1959</v>
      </c>
      <c r="I46" s="2">
        <v>43306</v>
      </c>
      <c r="J46" t="s">
        <v>568</v>
      </c>
      <c r="K46" t="s">
        <v>571</v>
      </c>
      <c r="L46">
        <v>1099455</v>
      </c>
      <c r="M46">
        <v>515.21</v>
      </c>
      <c r="N46">
        <v>7</v>
      </c>
      <c r="O46">
        <v>47.542000000000002</v>
      </c>
      <c r="P46">
        <v>-122.36499999999999</v>
      </c>
      <c r="Q46" t="s">
        <v>578</v>
      </c>
    </row>
    <row r="47" spans="1:17" x14ac:dyDescent="0.3">
      <c r="A47" t="s">
        <v>62</v>
      </c>
      <c r="B47" t="s">
        <v>271</v>
      </c>
      <c r="C47" t="s">
        <v>283</v>
      </c>
      <c r="D47" t="s">
        <v>369</v>
      </c>
      <c r="E47">
        <v>4</v>
      </c>
      <c r="F47">
        <v>4</v>
      </c>
      <c r="G47">
        <v>2787</v>
      </c>
      <c r="H47">
        <v>1969</v>
      </c>
      <c r="I47" s="2">
        <v>44534</v>
      </c>
      <c r="J47" t="s">
        <v>567</v>
      </c>
      <c r="K47" t="s">
        <v>571</v>
      </c>
      <c r="M47">
        <v>543.04999999999995</v>
      </c>
      <c r="N47">
        <v>25</v>
      </c>
      <c r="O47">
        <v>42.415999999999997</v>
      </c>
      <c r="P47">
        <v>-71.03</v>
      </c>
    </row>
    <row r="48" spans="1:17" x14ac:dyDescent="0.3">
      <c r="A48" t="s">
        <v>63</v>
      </c>
      <c r="B48" t="s">
        <v>268</v>
      </c>
      <c r="C48" t="s">
        <v>279</v>
      </c>
      <c r="D48" t="s">
        <v>370</v>
      </c>
      <c r="E48">
        <v>2</v>
      </c>
      <c r="F48">
        <v>2</v>
      </c>
      <c r="G48">
        <v>2003</v>
      </c>
      <c r="H48">
        <v>1960</v>
      </c>
      <c r="I48" s="2">
        <v>45411</v>
      </c>
      <c r="J48" t="s">
        <v>567</v>
      </c>
      <c r="K48" t="s">
        <v>571</v>
      </c>
      <c r="L48">
        <v>690549</v>
      </c>
      <c r="M48">
        <v>344.76</v>
      </c>
      <c r="N48">
        <v>41</v>
      </c>
      <c r="O48">
        <v>47.551000000000002</v>
      </c>
      <c r="P48">
        <v>-122.35599999999999</v>
      </c>
      <c r="Q48" t="s">
        <v>577</v>
      </c>
    </row>
    <row r="49" spans="1:17" x14ac:dyDescent="0.3">
      <c r="A49" t="s">
        <v>64</v>
      </c>
      <c r="B49" t="s">
        <v>275</v>
      </c>
      <c r="C49" t="s">
        <v>308</v>
      </c>
      <c r="D49" t="s">
        <v>371</v>
      </c>
      <c r="E49">
        <v>1</v>
      </c>
      <c r="F49">
        <v>1</v>
      </c>
      <c r="G49">
        <v>1827</v>
      </c>
      <c r="H49">
        <v>2018</v>
      </c>
      <c r="I49" s="2">
        <v>45459</v>
      </c>
      <c r="J49" t="s">
        <v>569</v>
      </c>
      <c r="K49" t="s">
        <v>571</v>
      </c>
      <c r="L49">
        <v>596046</v>
      </c>
      <c r="M49">
        <v>326.24</v>
      </c>
      <c r="N49">
        <v>40</v>
      </c>
      <c r="O49">
        <v>30.312999999999999</v>
      </c>
      <c r="P49">
        <v>-97.825000000000003</v>
      </c>
      <c r="Q49" t="s">
        <v>579</v>
      </c>
    </row>
    <row r="50" spans="1:17" x14ac:dyDescent="0.3">
      <c r="A50" t="s">
        <v>65</v>
      </c>
      <c r="B50" t="s">
        <v>267</v>
      </c>
      <c r="C50" t="s">
        <v>285</v>
      </c>
      <c r="D50" t="s">
        <v>372</v>
      </c>
      <c r="E50">
        <v>5</v>
      </c>
      <c r="F50">
        <v>4</v>
      </c>
      <c r="G50">
        <v>2765</v>
      </c>
      <c r="H50">
        <v>2001</v>
      </c>
      <c r="I50" s="2">
        <v>43269</v>
      </c>
      <c r="J50" t="s">
        <v>568</v>
      </c>
      <c r="K50" t="s">
        <v>571</v>
      </c>
      <c r="L50">
        <v>1678853</v>
      </c>
      <c r="M50">
        <v>607.17999999999995</v>
      </c>
      <c r="N50">
        <v>2</v>
      </c>
      <c r="O50">
        <v>37.802</v>
      </c>
      <c r="P50">
        <v>-122.416</v>
      </c>
      <c r="Q50" t="s">
        <v>579</v>
      </c>
    </row>
    <row r="51" spans="1:17" x14ac:dyDescent="0.3">
      <c r="A51" t="s">
        <v>66</v>
      </c>
      <c r="B51" t="s">
        <v>272</v>
      </c>
      <c r="C51" t="s">
        <v>284</v>
      </c>
      <c r="D51" t="s">
        <v>373</v>
      </c>
      <c r="E51">
        <v>1</v>
      </c>
      <c r="F51">
        <v>1</v>
      </c>
      <c r="G51">
        <v>1170</v>
      </c>
      <c r="H51">
        <v>1946</v>
      </c>
      <c r="I51" s="2">
        <v>43727</v>
      </c>
      <c r="J51" t="s">
        <v>569</v>
      </c>
      <c r="K51" t="s">
        <v>573</v>
      </c>
      <c r="L51">
        <v>584599</v>
      </c>
      <c r="M51">
        <v>499.66</v>
      </c>
      <c r="N51">
        <v>43</v>
      </c>
      <c r="O51">
        <v>25.763999999999999</v>
      </c>
      <c r="P51">
        <v>-80.16</v>
      </c>
      <c r="Q51" t="s">
        <v>577</v>
      </c>
    </row>
    <row r="52" spans="1:17" x14ac:dyDescent="0.3">
      <c r="A52" t="s">
        <v>67</v>
      </c>
      <c r="B52" t="s">
        <v>270</v>
      </c>
      <c r="C52" t="s">
        <v>306</v>
      </c>
      <c r="D52" t="s">
        <v>374</v>
      </c>
      <c r="E52">
        <v>4</v>
      </c>
      <c r="F52">
        <v>3</v>
      </c>
      <c r="G52">
        <v>2463</v>
      </c>
      <c r="H52">
        <v>1975</v>
      </c>
      <c r="I52" s="2">
        <v>44421</v>
      </c>
      <c r="J52" t="s">
        <v>567</v>
      </c>
      <c r="K52" t="s">
        <v>572</v>
      </c>
      <c r="L52">
        <v>1608391</v>
      </c>
      <c r="M52">
        <v>653.02</v>
      </c>
      <c r="N52">
        <v>14</v>
      </c>
      <c r="O52">
        <v>40.627000000000002</v>
      </c>
      <c r="P52">
        <v>-73.933999999999997</v>
      </c>
      <c r="Q52" t="s">
        <v>575</v>
      </c>
    </row>
    <row r="53" spans="1:17" x14ac:dyDescent="0.3">
      <c r="A53" t="s">
        <v>68</v>
      </c>
      <c r="B53" t="s">
        <v>274</v>
      </c>
      <c r="C53" t="s">
        <v>296</v>
      </c>
      <c r="D53" t="s">
        <v>375</v>
      </c>
      <c r="E53">
        <v>4</v>
      </c>
      <c r="F53">
        <v>4</v>
      </c>
      <c r="G53">
        <v>2458</v>
      </c>
      <c r="H53">
        <v>1963</v>
      </c>
      <c r="I53" s="2">
        <v>43845</v>
      </c>
      <c r="J53" t="s">
        <v>569</v>
      </c>
      <c r="K53" t="s">
        <v>573</v>
      </c>
      <c r="L53">
        <v>1702236</v>
      </c>
      <c r="M53">
        <v>692.53</v>
      </c>
      <c r="N53">
        <v>13</v>
      </c>
      <c r="O53">
        <v>34.11</v>
      </c>
      <c r="P53">
        <v>-118.27200000000001</v>
      </c>
      <c r="Q53" t="s">
        <v>577</v>
      </c>
    </row>
    <row r="54" spans="1:17" x14ac:dyDescent="0.3">
      <c r="A54" t="s">
        <v>69</v>
      </c>
      <c r="B54" t="s">
        <v>273</v>
      </c>
      <c r="C54" t="s">
        <v>309</v>
      </c>
      <c r="D54" t="s">
        <v>376</v>
      </c>
      <c r="E54">
        <v>5</v>
      </c>
      <c r="F54">
        <v>4</v>
      </c>
      <c r="G54">
        <v>3166</v>
      </c>
      <c r="H54">
        <v>1910</v>
      </c>
      <c r="I54" s="2">
        <v>44765</v>
      </c>
      <c r="J54" t="s">
        <v>569</v>
      </c>
      <c r="K54" t="s">
        <v>571</v>
      </c>
      <c r="L54">
        <v>2303831</v>
      </c>
      <c r="M54">
        <v>727.68</v>
      </c>
      <c r="N54">
        <v>0</v>
      </c>
      <c r="O54">
        <v>45.468000000000004</v>
      </c>
      <c r="P54">
        <v>-122.685</v>
      </c>
      <c r="Q54" t="s">
        <v>579</v>
      </c>
    </row>
    <row r="55" spans="1:17" x14ac:dyDescent="0.3">
      <c r="A55" t="s">
        <v>70</v>
      </c>
      <c r="B55" t="s">
        <v>268</v>
      </c>
      <c r="C55" t="s">
        <v>291</v>
      </c>
      <c r="D55" t="s">
        <v>377</v>
      </c>
      <c r="E55">
        <v>3</v>
      </c>
      <c r="F55">
        <v>3</v>
      </c>
      <c r="G55">
        <v>2264</v>
      </c>
      <c r="H55">
        <v>1988</v>
      </c>
      <c r="I55" s="2">
        <v>44355</v>
      </c>
      <c r="J55" t="s">
        <v>570</v>
      </c>
      <c r="K55" t="s">
        <v>571</v>
      </c>
      <c r="L55">
        <v>926449</v>
      </c>
      <c r="M55">
        <v>409.21</v>
      </c>
      <c r="N55">
        <v>58</v>
      </c>
      <c r="O55">
        <v>47.610999999999997</v>
      </c>
      <c r="P55">
        <v>-122.361</v>
      </c>
      <c r="Q55" t="s">
        <v>579</v>
      </c>
    </row>
    <row r="56" spans="1:17" x14ac:dyDescent="0.3">
      <c r="A56" t="s">
        <v>71</v>
      </c>
      <c r="B56" t="s">
        <v>269</v>
      </c>
      <c r="C56" t="s">
        <v>288</v>
      </c>
      <c r="D56" t="s">
        <v>378</v>
      </c>
      <c r="E56">
        <v>3</v>
      </c>
      <c r="F56">
        <v>3</v>
      </c>
      <c r="G56">
        <v>2390</v>
      </c>
      <c r="H56">
        <v>1929</v>
      </c>
      <c r="I56" s="2">
        <v>43889</v>
      </c>
      <c r="J56" t="s">
        <v>568</v>
      </c>
      <c r="K56" t="s">
        <v>573</v>
      </c>
      <c r="L56">
        <v>1223537</v>
      </c>
      <c r="M56">
        <v>511.94</v>
      </c>
      <c r="N56">
        <v>63</v>
      </c>
      <c r="O56">
        <v>39.747</v>
      </c>
      <c r="P56">
        <v>-104.938</v>
      </c>
      <c r="Q56" t="s">
        <v>575</v>
      </c>
    </row>
    <row r="57" spans="1:17" x14ac:dyDescent="0.3">
      <c r="A57" t="s">
        <v>72</v>
      </c>
      <c r="B57" t="s">
        <v>270</v>
      </c>
      <c r="C57" t="s">
        <v>310</v>
      </c>
      <c r="D57" t="s">
        <v>379</v>
      </c>
      <c r="E57">
        <v>5</v>
      </c>
      <c r="F57">
        <v>4</v>
      </c>
      <c r="G57">
        <v>2803</v>
      </c>
      <c r="H57">
        <v>1967</v>
      </c>
      <c r="I57" s="2">
        <v>44260</v>
      </c>
      <c r="J57" t="s">
        <v>566</v>
      </c>
      <c r="K57" t="s">
        <v>572</v>
      </c>
      <c r="L57">
        <v>2045680</v>
      </c>
      <c r="M57">
        <v>729.82</v>
      </c>
      <c r="N57">
        <v>91</v>
      </c>
      <c r="O57">
        <v>40.668999999999997</v>
      </c>
      <c r="P57">
        <v>-74.037999999999997</v>
      </c>
      <c r="Q57" t="s">
        <v>576</v>
      </c>
    </row>
    <row r="58" spans="1:17" x14ac:dyDescent="0.3">
      <c r="A58" t="s">
        <v>73</v>
      </c>
      <c r="B58" t="s">
        <v>275</v>
      </c>
      <c r="C58" t="s">
        <v>308</v>
      </c>
      <c r="D58" t="s">
        <v>380</v>
      </c>
      <c r="E58">
        <v>1</v>
      </c>
      <c r="F58">
        <v>1</v>
      </c>
      <c r="G58">
        <v>1439</v>
      </c>
      <c r="H58">
        <v>1970</v>
      </c>
      <c r="I58" s="2">
        <v>43618</v>
      </c>
      <c r="J58" t="s">
        <v>569</v>
      </c>
      <c r="K58" t="s">
        <v>573</v>
      </c>
      <c r="L58">
        <v>517185</v>
      </c>
      <c r="M58">
        <v>359.41</v>
      </c>
      <c r="N58">
        <v>8</v>
      </c>
      <c r="O58">
        <v>30.172000000000001</v>
      </c>
      <c r="P58">
        <v>-97.783000000000001</v>
      </c>
      <c r="Q58" t="s">
        <v>578</v>
      </c>
    </row>
    <row r="59" spans="1:17" x14ac:dyDescent="0.3">
      <c r="A59" t="s">
        <v>74</v>
      </c>
      <c r="B59" t="s">
        <v>275</v>
      </c>
      <c r="C59" t="s">
        <v>296</v>
      </c>
      <c r="D59" t="s">
        <v>381</v>
      </c>
      <c r="E59">
        <v>3</v>
      </c>
      <c r="F59">
        <v>2</v>
      </c>
      <c r="G59">
        <v>1896</v>
      </c>
      <c r="H59">
        <v>1961</v>
      </c>
      <c r="I59" s="2">
        <v>43368</v>
      </c>
      <c r="J59" t="s">
        <v>569</v>
      </c>
      <c r="K59" t="s">
        <v>571</v>
      </c>
      <c r="L59">
        <v>910828</v>
      </c>
      <c r="M59">
        <v>480.39</v>
      </c>
      <c r="N59">
        <v>45</v>
      </c>
      <c r="O59">
        <v>30.285</v>
      </c>
      <c r="P59">
        <v>-97.703000000000003</v>
      </c>
      <c r="Q59" t="s">
        <v>575</v>
      </c>
    </row>
    <row r="60" spans="1:17" x14ac:dyDescent="0.3">
      <c r="A60" t="s">
        <v>75</v>
      </c>
      <c r="B60" t="s">
        <v>271</v>
      </c>
      <c r="C60" t="s">
        <v>283</v>
      </c>
      <c r="D60" t="s">
        <v>382</v>
      </c>
      <c r="E60">
        <v>2</v>
      </c>
      <c r="F60">
        <v>2</v>
      </c>
      <c r="G60">
        <v>1869</v>
      </c>
      <c r="H60">
        <v>1997</v>
      </c>
      <c r="I60" s="2">
        <v>45584</v>
      </c>
      <c r="J60" t="s">
        <v>570</v>
      </c>
      <c r="K60" t="s">
        <v>572</v>
      </c>
      <c r="L60">
        <v>966071</v>
      </c>
      <c r="M60">
        <v>516.89</v>
      </c>
      <c r="N60">
        <v>35</v>
      </c>
      <c r="O60">
        <v>42.305</v>
      </c>
      <c r="P60">
        <v>-71.055000000000007</v>
      </c>
      <c r="Q60" t="s">
        <v>578</v>
      </c>
    </row>
    <row r="61" spans="1:17" x14ac:dyDescent="0.3">
      <c r="A61" t="s">
        <v>76</v>
      </c>
      <c r="B61" t="s">
        <v>274</v>
      </c>
      <c r="C61" t="s">
        <v>292</v>
      </c>
      <c r="D61" t="s">
        <v>383</v>
      </c>
      <c r="E61">
        <v>3</v>
      </c>
      <c r="F61">
        <v>3</v>
      </c>
      <c r="G61">
        <v>2463</v>
      </c>
      <c r="H61">
        <v>1907</v>
      </c>
      <c r="I61" s="2">
        <v>43507</v>
      </c>
      <c r="J61" t="s">
        <v>567</v>
      </c>
      <c r="K61" t="s">
        <v>571</v>
      </c>
      <c r="L61">
        <v>1544549</v>
      </c>
      <c r="M61">
        <v>627.1</v>
      </c>
      <c r="N61">
        <v>116</v>
      </c>
      <c r="O61">
        <v>34.003</v>
      </c>
      <c r="P61">
        <v>-118.324</v>
      </c>
      <c r="Q61" t="s">
        <v>575</v>
      </c>
    </row>
    <row r="62" spans="1:17" x14ac:dyDescent="0.3">
      <c r="A62" t="s">
        <v>77</v>
      </c>
      <c r="B62" t="s">
        <v>267</v>
      </c>
      <c r="C62" t="s">
        <v>311</v>
      </c>
      <c r="D62" t="s">
        <v>384</v>
      </c>
      <c r="E62">
        <v>1</v>
      </c>
      <c r="F62">
        <v>1</v>
      </c>
      <c r="G62">
        <v>1656</v>
      </c>
      <c r="H62">
        <v>1988</v>
      </c>
      <c r="I62" s="2">
        <v>45025</v>
      </c>
      <c r="J62" t="s">
        <v>568</v>
      </c>
      <c r="K62" t="s">
        <v>573</v>
      </c>
      <c r="L62">
        <v>575332</v>
      </c>
      <c r="M62">
        <v>347.42</v>
      </c>
      <c r="N62">
        <v>2</v>
      </c>
      <c r="O62">
        <v>37.728000000000002</v>
      </c>
      <c r="P62">
        <v>-122.373</v>
      </c>
      <c r="Q62" t="s">
        <v>578</v>
      </c>
    </row>
    <row r="63" spans="1:17" x14ac:dyDescent="0.3">
      <c r="A63" t="s">
        <v>78</v>
      </c>
      <c r="B63" t="s">
        <v>271</v>
      </c>
      <c r="C63" t="s">
        <v>287</v>
      </c>
      <c r="D63" t="s">
        <v>385</v>
      </c>
      <c r="E63">
        <v>2</v>
      </c>
      <c r="F63">
        <v>2</v>
      </c>
      <c r="G63">
        <v>1921</v>
      </c>
      <c r="H63">
        <v>1969</v>
      </c>
      <c r="I63" s="2">
        <v>43711</v>
      </c>
      <c r="J63" t="s">
        <v>568</v>
      </c>
      <c r="K63" t="s">
        <v>572</v>
      </c>
      <c r="L63">
        <v>899524</v>
      </c>
      <c r="M63">
        <v>468.26</v>
      </c>
      <c r="N63">
        <v>56</v>
      </c>
      <c r="O63">
        <v>42.274000000000001</v>
      </c>
      <c r="P63">
        <v>-71.126999999999995</v>
      </c>
      <c r="Q63" t="s">
        <v>576</v>
      </c>
    </row>
    <row r="64" spans="1:17" x14ac:dyDescent="0.3">
      <c r="A64" t="s">
        <v>79</v>
      </c>
      <c r="B64" t="s">
        <v>271</v>
      </c>
      <c r="C64" t="s">
        <v>290</v>
      </c>
      <c r="D64" t="s">
        <v>386</v>
      </c>
      <c r="E64">
        <v>1</v>
      </c>
      <c r="F64">
        <v>1</v>
      </c>
      <c r="G64">
        <v>1618</v>
      </c>
      <c r="H64">
        <v>1938</v>
      </c>
      <c r="I64" s="2">
        <v>44216</v>
      </c>
      <c r="J64" t="s">
        <v>570</v>
      </c>
      <c r="K64" t="s">
        <v>571</v>
      </c>
      <c r="L64">
        <v>697264</v>
      </c>
      <c r="M64">
        <v>430.94</v>
      </c>
      <c r="N64">
        <v>9</v>
      </c>
      <c r="O64">
        <v>42.347999999999999</v>
      </c>
      <c r="P64">
        <v>-71.040000000000006</v>
      </c>
      <c r="Q64" t="s">
        <v>578</v>
      </c>
    </row>
    <row r="65" spans="1:17" x14ac:dyDescent="0.3">
      <c r="A65" t="s">
        <v>80</v>
      </c>
      <c r="B65" t="s">
        <v>274</v>
      </c>
      <c r="C65" t="s">
        <v>312</v>
      </c>
      <c r="D65" t="s">
        <v>387</v>
      </c>
      <c r="E65">
        <v>1</v>
      </c>
      <c r="F65">
        <v>1</v>
      </c>
      <c r="G65">
        <v>1121</v>
      </c>
      <c r="H65">
        <v>1986</v>
      </c>
      <c r="I65" s="2">
        <v>45505</v>
      </c>
      <c r="J65" t="s">
        <v>566</v>
      </c>
      <c r="K65" t="s">
        <v>574</v>
      </c>
      <c r="L65">
        <v>591648</v>
      </c>
      <c r="M65">
        <v>527.79</v>
      </c>
      <c r="N65">
        <v>60</v>
      </c>
      <c r="O65">
        <v>34.084000000000003</v>
      </c>
      <c r="P65">
        <v>-118.286</v>
      </c>
    </row>
    <row r="66" spans="1:17" x14ac:dyDescent="0.3">
      <c r="A66" t="s">
        <v>81</v>
      </c>
      <c r="B66" t="s">
        <v>270</v>
      </c>
      <c r="C66" t="s">
        <v>281</v>
      </c>
      <c r="D66" t="s">
        <v>388</v>
      </c>
      <c r="E66">
        <v>4</v>
      </c>
      <c r="F66">
        <v>3</v>
      </c>
      <c r="G66">
        <v>2454</v>
      </c>
      <c r="H66">
        <v>1923</v>
      </c>
      <c r="I66" s="2">
        <v>44886</v>
      </c>
      <c r="J66" t="s">
        <v>569</v>
      </c>
      <c r="K66" t="s">
        <v>574</v>
      </c>
      <c r="L66">
        <v>1466220</v>
      </c>
      <c r="M66">
        <v>597.48</v>
      </c>
      <c r="N66">
        <v>40</v>
      </c>
      <c r="O66">
        <v>40.704000000000001</v>
      </c>
      <c r="P66">
        <v>-74.028000000000006</v>
      </c>
      <c r="Q66" t="s">
        <v>576</v>
      </c>
    </row>
    <row r="67" spans="1:17" x14ac:dyDescent="0.3">
      <c r="A67" t="s">
        <v>82</v>
      </c>
      <c r="B67" t="s">
        <v>275</v>
      </c>
      <c r="C67" t="s">
        <v>308</v>
      </c>
      <c r="D67" t="s">
        <v>389</v>
      </c>
      <c r="E67">
        <v>4</v>
      </c>
      <c r="F67">
        <v>3</v>
      </c>
      <c r="G67">
        <v>2496</v>
      </c>
      <c r="H67">
        <v>1936</v>
      </c>
      <c r="I67" s="2">
        <v>45354</v>
      </c>
      <c r="J67" t="s">
        <v>566</v>
      </c>
      <c r="K67" t="s">
        <v>571</v>
      </c>
      <c r="L67">
        <v>1266724</v>
      </c>
      <c r="M67">
        <v>507.5</v>
      </c>
      <c r="N67">
        <v>39</v>
      </c>
      <c r="O67">
        <v>30.233000000000001</v>
      </c>
      <c r="P67">
        <v>-97.775000000000006</v>
      </c>
      <c r="Q67" t="s">
        <v>578</v>
      </c>
    </row>
    <row r="68" spans="1:17" x14ac:dyDescent="0.3">
      <c r="A68" t="s">
        <v>83</v>
      </c>
      <c r="B68" t="s">
        <v>268</v>
      </c>
      <c r="D68" t="s">
        <v>390</v>
      </c>
      <c r="E68">
        <v>4</v>
      </c>
      <c r="F68">
        <v>4</v>
      </c>
      <c r="G68">
        <v>2415</v>
      </c>
      <c r="H68">
        <v>1924</v>
      </c>
      <c r="I68" s="2">
        <v>44582</v>
      </c>
      <c r="J68" t="s">
        <v>570</v>
      </c>
      <c r="K68" t="s">
        <v>572</v>
      </c>
      <c r="L68">
        <v>1110386</v>
      </c>
      <c r="M68">
        <v>459.79</v>
      </c>
      <c r="N68">
        <v>45</v>
      </c>
      <c r="O68">
        <v>47.625</v>
      </c>
      <c r="P68">
        <v>-122.27800000000001</v>
      </c>
      <c r="Q68" t="s">
        <v>575</v>
      </c>
    </row>
    <row r="69" spans="1:17" x14ac:dyDescent="0.3">
      <c r="A69" t="s">
        <v>84</v>
      </c>
      <c r="B69" t="s">
        <v>275</v>
      </c>
      <c r="C69" t="s">
        <v>308</v>
      </c>
      <c r="D69" t="s">
        <v>391</v>
      </c>
      <c r="E69">
        <v>4</v>
      </c>
      <c r="F69">
        <v>3</v>
      </c>
      <c r="G69">
        <v>2540</v>
      </c>
      <c r="H69">
        <v>1962</v>
      </c>
      <c r="I69" s="2">
        <v>43219</v>
      </c>
      <c r="J69" t="s">
        <v>570</v>
      </c>
      <c r="K69" t="s">
        <v>572</v>
      </c>
      <c r="L69">
        <v>1468777</v>
      </c>
      <c r="M69">
        <v>578.26</v>
      </c>
      <c r="N69">
        <v>66</v>
      </c>
      <c r="O69">
        <v>30.312000000000001</v>
      </c>
      <c r="P69">
        <v>-97.778000000000006</v>
      </c>
    </row>
    <row r="70" spans="1:17" x14ac:dyDescent="0.3">
      <c r="A70" t="s">
        <v>85</v>
      </c>
      <c r="B70" t="s">
        <v>267</v>
      </c>
      <c r="C70" t="s">
        <v>311</v>
      </c>
      <c r="D70" t="s">
        <v>392</v>
      </c>
      <c r="E70">
        <v>1</v>
      </c>
      <c r="F70">
        <v>1</v>
      </c>
      <c r="G70">
        <v>1156</v>
      </c>
      <c r="H70">
        <v>1915</v>
      </c>
      <c r="I70" s="2">
        <v>45142</v>
      </c>
      <c r="J70" t="s">
        <v>568</v>
      </c>
      <c r="K70" t="s">
        <v>571</v>
      </c>
      <c r="L70">
        <v>373882</v>
      </c>
      <c r="M70">
        <v>323.43</v>
      </c>
      <c r="N70">
        <v>50</v>
      </c>
      <c r="O70">
        <v>37.725000000000001</v>
      </c>
      <c r="P70">
        <v>-122.26300000000001</v>
      </c>
      <c r="Q70" t="s">
        <v>578</v>
      </c>
    </row>
    <row r="71" spans="1:17" x14ac:dyDescent="0.3">
      <c r="A71" t="s">
        <v>86</v>
      </c>
      <c r="B71" t="s">
        <v>273</v>
      </c>
      <c r="C71" t="s">
        <v>289</v>
      </c>
      <c r="D71" t="s">
        <v>393</v>
      </c>
      <c r="E71">
        <v>4</v>
      </c>
      <c r="F71">
        <v>4</v>
      </c>
      <c r="G71">
        <v>2528</v>
      </c>
      <c r="H71">
        <v>1976</v>
      </c>
      <c r="I71" s="2">
        <v>43660</v>
      </c>
      <c r="J71" t="s">
        <v>566</v>
      </c>
      <c r="K71" t="s">
        <v>571</v>
      </c>
      <c r="L71">
        <v>1734876</v>
      </c>
      <c r="M71">
        <v>686.26</v>
      </c>
      <c r="N71">
        <v>150</v>
      </c>
      <c r="O71">
        <v>45.578000000000003</v>
      </c>
      <c r="P71">
        <v>-122.697</v>
      </c>
      <c r="Q71" t="s">
        <v>577</v>
      </c>
    </row>
    <row r="72" spans="1:17" x14ac:dyDescent="0.3">
      <c r="A72" t="s">
        <v>87</v>
      </c>
      <c r="B72" t="s">
        <v>271</v>
      </c>
      <c r="C72" t="s">
        <v>313</v>
      </c>
      <c r="D72" t="s">
        <v>394</v>
      </c>
      <c r="E72">
        <v>5</v>
      </c>
      <c r="F72">
        <v>5</v>
      </c>
      <c r="G72">
        <v>2843</v>
      </c>
      <c r="H72">
        <v>1984</v>
      </c>
      <c r="I72" s="2">
        <v>43709</v>
      </c>
      <c r="J72" t="s">
        <v>569</v>
      </c>
      <c r="K72" t="s">
        <v>571</v>
      </c>
      <c r="L72">
        <v>1931114</v>
      </c>
      <c r="M72">
        <v>679.25</v>
      </c>
      <c r="N72">
        <v>63</v>
      </c>
      <c r="O72">
        <v>42.329000000000001</v>
      </c>
      <c r="P72">
        <v>-71.05</v>
      </c>
      <c r="Q72" t="s">
        <v>577</v>
      </c>
    </row>
    <row r="73" spans="1:17" x14ac:dyDescent="0.3">
      <c r="A73" t="s">
        <v>88</v>
      </c>
      <c r="B73" t="s">
        <v>269</v>
      </c>
      <c r="C73" t="s">
        <v>291</v>
      </c>
      <c r="D73" t="s">
        <v>395</v>
      </c>
      <c r="E73">
        <v>2</v>
      </c>
      <c r="F73">
        <v>2</v>
      </c>
      <c r="G73">
        <v>1963</v>
      </c>
      <c r="H73">
        <v>1929</v>
      </c>
      <c r="I73" s="2">
        <v>43279</v>
      </c>
      <c r="J73" t="s">
        <v>568</v>
      </c>
      <c r="K73" t="s">
        <v>572</v>
      </c>
      <c r="L73">
        <v>962901</v>
      </c>
      <c r="M73">
        <v>490.53</v>
      </c>
      <c r="N73">
        <v>57</v>
      </c>
      <c r="O73">
        <v>39.780999999999999</v>
      </c>
      <c r="P73">
        <v>-104.928</v>
      </c>
      <c r="Q73" t="s">
        <v>578</v>
      </c>
    </row>
    <row r="74" spans="1:17" x14ac:dyDescent="0.3">
      <c r="A74" t="s">
        <v>89</v>
      </c>
      <c r="B74" t="s">
        <v>270</v>
      </c>
      <c r="C74" t="s">
        <v>314</v>
      </c>
      <c r="D74" t="s">
        <v>396</v>
      </c>
      <c r="E74">
        <v>2</v>
      </c>
      <c r="G74">
        <v>1607</v>
      </c>
      <c r="H74">
        <v>1975</v>
      </c>
      <c r="I74" s="2">
        <v>43512</v>
      </c>
      <c r="J74" t="s">
        <v>569</v>
      </c>
      <c r="K74" t="s">
        <v>573</v>
      </c>
      <c r="L74">
        <v>855074</v>
      </c>
      <c r="M74">
        <v>532.09</v>
      </c>
      <c r="N74">
        <v>20</v>
      </c>
      <c r="O74">
        <v>40.792000000000002</v>
      </c>
      <c r="P74">
        <v>-74.106999999999999</v>
      </c>
      <c r="Q74" t="s">
        <v>575</v>
      </c>
    </row>
    <row r="75" spans="1:17" x14ac:dyDescent="0.3">
      <c r="A75" t="s">
        <v>90</v>
      </c>
      <c r="B75" t="s">
        <v>267</v>
      </c>
      <c r="C75" t="s">
        <v>293</v>
      </c>
      <c r="D75" t="s">
        <v>397</v>
      </c>
      <c r="E75">
        <v>3</v>
      </c>
      <c r="F75">
        <v>3</v>
      </c>
      <c r="G75">
        <v>2120</v>
      </c>
      <c r="H75">
        <v>1988</v>
      </c>
      <c r="I75" s="2">
        <v>43429</v>
      </c>
      <c r="J75" t="s">
        <v>568</v>
      </c>
      <c r="K75" t="s">
        <v>572</v>
      </c>
      <c r="L75">
        <v>1199609</v>
      </c>
      <c r="M75">
        <v>565.85</v>
      </c>
      <c r="N75">
        <v>21</v>
      </c>
      <c r="O75">
        <v>37.841999999999999</v>
      </c>
      <c r="P75">
        <v>-122.354</v>
      </c>
      <c r="Q75" t="s">
        <v>576</v>
      </c>
    </row>
    <row r="76" spans="1:17" x14ac:dyDescent="0.3">
      <c r="A76" t="s">
        <v>91</v>
      </c>
      <c r="B76" t="s">
        <v>273</v>
      </c>
      <c r="D76" t="s">
        <v>398</v>
      </c>
      <c r="E76">
        <v>5</v>
      </c>
      <c r="F76">
        <v>5</v>
      </c>
      <c r="G76">
        <v>2872</v>
      </c>
      <c r="H76">
        <v>1980</v>
      </c>
      <c r="I76" s="2">
        <v>44032</v>
      </c>
      <c r="J76" t="s">
        <v>566</v>
      </c>
      <c r="K76" t="s">
        <v>571</v>
      </c>
      <c r="L76">
        <v>1851273</v>
      </c>
      <c r="M76">
        <v>644.59</v>
      </c>
      <c r="N76">
        <v>20</v>
      </c>
      <c r="O76">
        <v>45.44</v>
      </c>
      <c r="P76">
        <v>-122.65300000000001</v>
      </c>
    </row>
    <row r="77" spans="1:17" x14ac:dyDescent="0.3">
      <c r="A77" t="s">
        <v>92</v>
      </c>
      <c r="B77" t="s">
        <v>271</v>
      </c>
      <c r="C77" t="s">
        <v>283</v>
      </c>
      <c r="D77" t="s">
        <v>399</v>
      </c>
      <c r="E77">
        <v>1</v>
      </c>
      <c r="F77">
        <v>1</v>
      </c>
      <c r="G77">
        <v>1772</v>
      </c>
      <c r="H77">
        <v>1907</v>
      </c>
      <c r="I77" s="2">
        <v>44569</v>
      </c>
      <c r="J77" t="s">
        <v>568</v>
      </c>
      <c r="K77" t="s">
        <v>571</v>
      </c>
      <c r="L77">
        <v>7665020</v>
      </c>
      <c r="M77">
        <v>432.56</v>
      </c>
      <c r="N77">
        <v>2</v>
      </c>
      <c r="O77">
        <v>42.308999999999997</v>
      </c>
      <c r="P77">
        <v>-71.078000000000003</v>
      </c>
      <c r="Q77" t="s">
        <v>579</v>
      </c>
    </row>
    <row r="78" spans="1:17" x14ac:dyDescent="0.3">
      <c r="A78" t="s">
        <v>93</v>
      </c>
      <c r="B78" t="s">
        <v>275</v>
      </c>
      <c r="C78" t="s">
        <v>295</v>
      </c>
      <c r="D78" t="s">
        <v>400</v>
      </c>
      <c r="E78">
        <v>1</v>
      </c>
      <c r="F78">
        <v>1</v>
      </c>
      <c r="G78">
        <v>1321</v>
      </c>
      <c r="H78">
        <v>1948</v>
      </c>
      <c r="I78" s="2">
        <v>45139</v>
      </c>
      <c r="J78" t="s">
        <v>570</v>
      </c>
      <c r="K78" t="s">
        <v>573</v>
      </c>
      <c r="L78">
        <v>546640</v>
      </c>
      <c r="M78">
        <v>413.81</v>
      </c>
      <c r="N78">
        <v>13</v>
      </c>
      <c r="O78">
        <v>30.262</v>
      </c>
      <c r="P78">
        <v>-97.789000000000001</v>
      </c>
      <c r="Q78" t="s">
        <v>576</v>
      </c>
    </row>
    <row r="79" spans="1:17" x14ac:dyDescent="0.3">
      <c r="A79" t="s">
        <v>94</v>
      </c>
      <c r="B79" t="s">
        <v>270</v>
      </c>
      <c r="C79" t="s">
        <v>310</v>
      </c>
      <c r="D79" t="s">
        <v>401</v>
      </c>
      <c r="E79">
        <v>5</v>
      </c>
      <c r="F79">
        <v>5</v>
      </c>
      <c r="G79">
        <v>2754</v>
      </c>
      <c r="H79">
        <v>1956</v>
      </c>
      <c r="I79" s="2">
        <v>45507</v>
      </c>
      <c r="J79" t="s">
        <v>568</v>
      </c>
      <c r="K79" t="s">
        <v>571</v>
      </c>
      <c r="L79">
        <v>1908414</v>
      </c>
      <c r="M79">
        <v>692.96</v>
      </c>
      <c r="N79">
        <v>15</v>
      </c>
      <c r="O79">
        <v>40.695</v>
      </c>
      <c r="P79">
        <v>-74.06</v>
      </c>
      <c r="Q79" t="s">
        <v>576</v>
      </c>
    </row>
    <row r="80" spans="1:17" x14ac:dyDescent="0.3">
      <c r="A80" t="s">
        <v>95</v>
      </c>
      <c r="B80" t="s">
        <v>270</v>
      </c>
      <c r="C80" t="s">
        <v>314</v>
      </c>
      <c r="D80" t="s">
        <v>402</v>
      </c>
      <c r="E80">
        <v>2</v>
      </c>
      <c r="F80">
        <v>2</v>
      </c>
      <c r="G80">
        <v>2336</v>
      </c>
      <c r="H80">
        <v>1945</v>
      </c>
      <c r="I80" s="2">
        <v>44312</v>
      </c>
      <c r="J80" t="s">
        <v>568</v>
      </c>
      <c r="K80" t="s">
        <v>573</v>
      </c>
      <c r="L80">
        <v>1337510</v>
      </c>
      <c r="M80">
        <v>572.55999999999995</v>
      </c>
      <c r="N80">
        <v>25</v>
      </c>
      <c r="O80">
        <v>40.776000000000003</v>
      </c>
      <c r="P80">
        <v>-74.031000000000006</v>
      </c>
    </row>
    <row r="81" spans="1:17" x14ac:dyDescent="0.3">
      <c r="A81" t="s">
        <v>96</v>
      </c>
      <c r="B81" t="s">
        <v>274</v>
      </c>
      <c r="C81" t="s">
        <v>292</v>
      </c>
      <c r="D81" t="s">
        <v>403</v>
      </c>
      <c r="E81">
        <v>3</v>
      </c>
      <c r="F81">
        <v>2</v>
      </c>
      <c r="G81">
        <v>2147</v>
      </c>
      <c r="H81">
        <v>1929</v>
      </c>
      <c r="I81" s="2">
        <v>44544</v>
      </c>
      <c r="J81" t="s">
        <v>567</v>
      </c>
      <c r="K81" t="s">
        <v>571</v>
      </c>
      <c r="L81">
        <v>1316572</v>
      </c>
      <c r="M81">
        <v>613.21</v>
      </c>
      <c r="N81">
        <v>60</v>
      </c>
      <c r="O81">
        <v>34.073999999999998</v>
      </c>
      <c r="P81">
        <v>-118.20399999999999</v>
      </c>
      <c r="Q81" t="s">
        <v>579</v>
      </c>
    </row>
    <row r="82" spans="1:17" x14ac:dyDescent="0.3">
      <c r="A82" t="s">
        <v>97</v>
      </c>
      <c r="B82" t="s">
        <v>267</v>
      </c>
      <c r="C82" t="s">
        <v>278</v>
      </c>
      <c r="D82" t="s">
        <v>404</v>
      </c>
      <c r="E82">
        <v>3</v>
      </c>
      <c r="F82">
        <v>2</v>
      </c>
      <c r="G82">
        <v>1902</v>
      </c>
      <c r="H82">
        <v>1904</v>
      </c>
      <c r="I82" s="2">
        <v>44595</v>
      </c>
      <c r="J82" t="s">
        <v>567</v>
      </c>
      <c r="K82" t="s">
        <v>573</v>
      </c>
      <c r="L82">
        <v>902412</v>
      </c>
      <c r="M82">
        <v>474.45</v>
      </c>
      <c r="N82">
        <v>50</v>
      </c>
      <c r="O82">
        <v>37.728999999999999</v>
      </c>
      <c r="P82">
        <v>-122.28100000000001</v>
      </c>
      <c r="Q82" t="s">
        <v>575</v>
      </c>
    </row>
    <row r="83" spans="1:17" x14ac:dyDescent="0.3">
      <c r="A83" t="s">
        <v>98</v>
      </c>
      <c r="B83" t="s">
        <v>273</v>
      </c>
      <c r="C83" t="s">
        <v>286</v>
      </c>
      <c r="D83" t="s">
        <v>405</v>
      </c>
      <c r="E83">
        <v>5</v>
      </c>
      <c r="F83">
        <v>5</v>
      </c>
      <c r="G83">
        <v>2916</v>
      </c>
      <c r="H83">
        <v>1934</v>
      </c>
      <c r="I83" s="2">
        <v>44153</v>
      </c>
      <c r="J83" t="s">
        <v>569</v>
      </c>
      <c r="K83" t="s">
        <v>574</v>
      </c>
      <c r="L83">
        <v>1921175</v>
      </c>
      <c r="M83">
        <v>658.84</v>
      </c>
      <c r="N83">
        <v>24</v>
      </c>
      <c r="O83">
        <v>45.478999999999999</v>
      </c>
      <c r="P83">
        <v>-122.60599999999999</v>
      </c>
    </row>
    <row r="84" spans="1:17" x14ac:dyDescent="0.3">
      <c r="A84" t="s">
        <v>99</v>
      </c>
      <c r="B84" t="s">
        <v>275</v>
      </c>
      <c r="C84" t="s">
        <v>295</v>
      </c>
      <c r="D84" t="s">
        <v>406</v>
      </c>
      <c r="E84">
        <v>4</v>
      </c>
      <c r="F84">
        <v>3</v>
      </c>
      <c r="G84">
        <v>2281</v>
      </c>
      <c r="H84">
        <v>2002</v>
      </c>
      <c r="I84" s="2">
        <v>44599</v>
      </c>
      <c r="J84" t="s">
        <v>566</v>
      </c>
      <c r="K84" t="s">
        <v>572</v>
      </c>
      <c r="L84">
        <v>1188958</v>
      </c>
      <c r="M84">
        <v>521.24</v>
      </c>
      <c r="N84">
        <v>87</v>
      </c>
      <c r="O84">
        <v>30.172999999999998</v>
      </c>
      <c r="P84">
        <v>-97.733000000000004</v>
      </c>
      <c r="Q84" t="s">
        <v>578</v>
      </c>
    </row>
    <row r="85" spans="1:17" x14ac:dyDescent="0.3">
      <c r="A85" t="s">
        <v>100</v>
      </c>
      <c r="B85" t="s">
        <v>274</v>
      </c>
      <c r="C85" t="s">
        <v>292</v>
      </c>
      <c r="D85" t="s">
        <v>407</v>
      </c>
      <c r="E85">
        <v>3</v>
      </c>
      <c r="F85">
        <v>3</v>
      </c>
      <c r="G85">
        <v>2201</v>
      </c>
      <c r="H85">
        <v>1929</v>
      </c>
      <c r="I85" s="2">
        <v>43203</v>
      </c>
      <c r="J85" t="s">
        <v>570</v>
      </c>
      <c r="K85" t="s">
        <v>572</v>
      </c>
      <c r="L85">
        <v>1287478</v>
      </c>
      <c r="M85">
        <v>584.95000000000005</v>
      </c>
      <c r="N85">
        <v>62</v>
      </c>
      <c r="O85">
        <v>34.061999999999998</v>
      </c>
      <c r="P85">
        <v>-118.157</v>
      </c>
      <c r="Q85" t="s">
        <v>575</v>
      </c>
    </row>
    <row r="86" spans="1:17" x14ac:dyDescent="0.3">
      <c r="A86" t="s">
        <v>101</v>
      </c>
      <c r="B86" t="s">
        <v>270</v>
      </c>
      <c r="C86" t="s">
        <v>310</v>
      </c>
      <c r="D86" t="s">
        <v>408</v>
      </c>
      <c r="E86">
        <v>4</v>
      </c>
      <c r="F86">
        <v>4</v>
      </c>
      <c r="G86">
        <v>2931</v>
      </c>
      <c r="H86">
        <v>1905</v>
      </c>
      <c r="I86" s="2">
        <v>44347</v>
      </c>
      <c r="J86" t="s">
        <v>569</v>
      </c>
      <c r="K86" t="s">
        <v>573</v>
      </c>
      <c r="L86">
        <v>19784490</v>
      </c>
      <c r="M86">
        <v>675.01</v>
      </c>
      <c r="N86">
        <v>10</v>
      </c>
      <c r="O86">
        <v>40.656999999999996</v>
      </c>
      <c r="P86">
        <v>-74.001999999999995</v>
      </c>
      <c r="Q86" t="s">
        <v>578</v>
      </c>
    </row>
    <row r="87" spans="1:17" x14ac:dyDescent="0.3">
      <c r="A87" t="s">
        <v>102</v>
      </c>
      <c r="B87" t="s">
        <v>273</v>
      </c>
      <c r="C87" t="s">
        <v>285</v>
      </c>
      <c r="D87" t="s">
        <v>409</v>
      </c>
      <c r="E87">
        <v>5</v>
      </c>
      <c r="F87">
        <v>4</v>
      </c>
      <c r="G87">
        <v>2579</v>
      </c>
      <c r="H87">
        <v>1919</v>
      </c>
      <c r="I87" s="2">
        <v>43506</v>
      </c>
      <c r="J87" t="s">
        <v>569</v>
      </c>
      <c r="K87" t="s">
        <v>571</v>
      </c>
      <c r="L87">
        <v>1969808</v>
      </c>
      <c r="M87">
        <v>763.79</v>
      </c>
      <c r="N87">
        <v>13</v>
      </c>
      <c r="O87">
        <v>45.607999999999997</v>
      </c>
      <c r="P87">
        <v>-122.724</v>
      </c>
      <c r="Q87" t="s">
        <v>579</v>
      </c>
    </row>
    <row r="88" spans="1:17" x14ac:dyDescent="0.3">
      <c r="A88" t="s">
        <v>103</v>
      </c>
      <c r="B88" t="s">
        <v>270</v>
      </c>
      <c r="D88" t="s">
        <v>410</v>
      </c>
      <c r="E88">
        <v>2</v>
      </c>
      <c r="F88">
        <v>1</v>
      </c>
      <c r="G88">
        <v>1911</v>
      </c>
      <c r="H88">
        <v>1912</v>
      </c>
      <c r="I88" s="2">
        <v>45331</v>
      </c>
      <c r="J88" t="s">
        <v>568</v>
      </c>
      <c r="K88" t="s">
        <v>573</v>
      </c>
      <c r="L88">
        <v>1095254</v>
      </c>
      <c r="M88">
        <v>573.13</v>
      </c>
      <c r="N88">
        <v>7</v>
      </c>
      <c r="O88">
        <v>40.664999999999999</v>
      </c>
      <c r="P88">
        <v>-73.915999999999997</v>
      </c>
      <c r="Q88" t="s">
        <v>578</v>
      </c>
    </row>
    <row r="89" spans="1:17" x14ac:dyDescent="0.3">
      <c r="A89" t="s">
        <v>104</v>
      </c>
      <c r="B89" t="s">
        <v>274</v>
      </c>
      <c r="C89" t="s">
        <v>297</v>
      </c>
      <c r="D89" t="s">
        <v>411</v>
      </c>
      <c r="E89">
        <v>1</v>
      </c>
      <c r="F89">
        <v>1</v>
      </c>
      <c r="G89">
        <v>1485</v>
      </c>
      <c r="H89">
        <v>1931</v>
      </c>
      <c r="I89" s="2">
        <v>45413</v>
      </c>
      <c r="J89" t="s">
        <v>567</v>
      </c>
      <c r="K89" t="s">
        <v>573</v>
      </c>
      <c r="L89">
        <v>582252</v>
      </c>
      <c r="M89">
        <v>392.09</v>
      </c>
      <c r="N89">
        <v>4</v>
      </c>
      <c r="O89">
        <v>34.103000000000002</v>
      </c>
      <c r="P89">
        <v>-118.29900000000001</v>
      </c>
      <c r="Q89" t="s">
        <v>575</v>
      </c>
    </row>
    <row r="90" spans="1:17" x14ac:dyDescent="0.3">
      <c r="A90" t="s">
        <v>105</v>
      </c>
      <c r="B90" t="s">
        <v>269</v>
      </c>
      <c r="C90" t="s">
        <v>291</v>
      </c>
      <c r="D90" t="s">
        <v>412</v>
      </c>
      <c r="E90">
        <v>5</v>
      </c>
      <c r="F90">
        <v>5</v>
      </c>
      <c r="G90">
        <v>2637</v>
      </c>
      <c r="H90">
        <v>2009</v>
      </c>
      <c r="I90" s="2">
        <v>43633</v>
      </c>
      <c r="J90" t="s">
        <v>570</v>
      </c>
      <c r="K90" t="s">
        <v>571</v>
      </c>
      <c r="L90">
        <v>1571682</v>
      </c>
      <c r="M90">
        <v>596.01</v>
      </c>
      <c r="N90">
        <v>83</v>
      </c>
      <c r="O90">
        <v>39.674999999999997</v>
      </c>
      <c r="P90">
        <v>-104.958</v>
      </c>
    </row>
    <row r="91" spans="1:17" x14ac:dyDescent="0.3">
      <c r="A91" t="s">
        <v>106</v>
      </c>
      <c r="B91" t="s">
        <v>269</v>
      </c>
      <c r="C91" t="s">
        <v>291</v>
      </c>
      <c r="D91" t="s">
        <v>413</v>
      </c>
      <c r="E91">
        <v>5</v>
      </c>
      <c r="F91">
        <v>5</v>
      </c>
      <c r="G91">
        <v>2342</v>
      </c>
      <c r="H91">
        <v>1922</v>
      </c>
      <c r="I91" s="2">
        <v>43315</v>
      </c>
      <c r="J91" t="s">
        <v>567</v>
      </c>
      <c r="K91" t="s">
        <v>572</v>
      </c>
      <c r="L91">
        <v>1477535</v>
      </c>
      <c r="M91">
        <v>630.89</v>
      </c>
      <c r="N91">
        <v>38</v>
      </c>
      <c r="O91">
        <v>39.744999999999997</v>
      </c>
      <c r="P91">
        <v>-104.941</v>
      </c>
      <c r="Q91" t="s">
        <v>578</v>
      </c>
    </row>
    <row r="92" spans="1:17" x14ac:dyDescent="0.3">
      <c r="A92" t="s">
        <v>107</v>
      </c>
      <c r="B92" t="s">
        <v>273</v>
      </c>
      <c r="C92" t="s">
        <v>315</v>
      </c>
      <c r="D92" t="s">
        <v>414</v>
      </c>
      <c r="E92">
        <v>1</v>
      </c>
      <c r="F92">
        <v>1</v>
      </c>
      <c r="G92">
        <v>1860</v>
      </c>
      <c r="H92">
        <v>1928</v>
      </c>
      <c r="I92" s="2">
        <v>45236</v>
      </c>
      <c r="J92" t="s">
        <v>568</v>
      </c>
      <c r="K92" t="s">
        <v>571</v>
      </c>
      <c r="L92">
        <v>825421</v>
      </c>
      <c r="M92">
        <v>443.77</v>
      </c>
      <c r="N92">
        <v>69</v>
      </c>
      <c r="O92">
        <v>45.613</v>
      </c>
      <c r="P92">
        <v>-122.768</v>
      </c>
      <c r="Q92" t="s">
        <v>578</v>
      </c>
    </row>
    <row r="93" spans="1:17" x14ac:dyDescent="0.3">
      <c r="A93" t="s">
        <v>108</v>
      </c>
      <c r="B93" t="s">
        <v>272</v>
      </c>
      <c r="C93" t="s">
        <v>294</v>
      </c>
      <c r="D93" t="s">
        <v>415</v>
      </c>
      <c r="E93">
        <v>4</v>
      </c>
      <c r="F93">
        <v>3</v>
      </c>
      <c r="G93">
        <v>2403</v>
      </c>
      <c r="H93">
        <v>1956</v>
      </c>
      <c r="I93" s="2">
        <v>43431</v>
      </c>
      <c r="J93" t="s">
        <v>568</v>
      </c>
      <c r="K93" t="s">
        <v>571</v>
      </c>
      <c r="L93">
        <v>1380959</v>
      </c>
      <c r="M93">
        <v>574.67999999999995</v>
      </c>
      <c r="N93">
        <v>48</v>
      </c>
      <c r="O93">
        <v>25.672999999999998</v>
      </c>
      <c r="P93">
        <v>-80.234999999999999</v>
      </c>
      <c r="Q93" t="s">
        <v>579</v>
      </c>
    </row>
    <row r="94" spans="1:17" x14ac:dyDescent="0.3">
      <c r="A94" t="s">
        <v>109</v>
      </c>
      <c r="B94" t="s">
        <v>269</v>
      </c>
      <c r="C94" t="s">
        <v>288</v>
      </c>
      <c r="D94" t="s">
        <v>416</v>
      </c>
      <c r="E94">
        <v>5</v>
      </c>
      <c r="F94">
        <v>5</v>
      </c>
      <c r="G94">
        <v>2750</v>
      </c>
      <c r="H94">
        <v>1958</v>
      </c>
      <c r="I94" s="2">
        <v>45580</v>
      </c>
      <c r="J94" t="s">
        <v>569</v>
      </c>
      <c r="K94" t="s">
        <v>573</v>
      </c>
      <c r="L94">
        <v>1734631</v>
      </c>
      <c r="M94">
        <v>630.77</v>
      </c>
      <c r="N94">
        <v>37</v>
      </c>
      <c r="O94">
        <v>39.78</v>
      </c>
      <c r="P94">
        <v>-104.919</v>
      </c>
      <c r="Q94" t="s">
        <v>579</v>
      </c>
    </row>
    <row r="95" spans="1:17" x14ac:dyDescent="0.3">
      <c r="A95" t="s">
        <v>110</v>
      </c>
      <c r="B95" t="s">
        <v>276</v>
      </c>
      <c r="C95" t="s">
        <v>301</v>
      </c>
      <c r="D95" t="s">
        <v>417</v>
      </c>
      <c r="E95">
        <v>4</v>
      </c>
      <c r="F95">
        <v>3</v>
      </c>
      <c r="G95">
        <v>2304</v>
      </c>
      <c r="H95">
        <v>1952</v>
      </c>
      <c r="I95" s="2">
        <v>44958</v>
      </c>
      <c r="J95" t="s">
        <v>569</v>
      </c>
      <c r="K95" t="s">
        <v>571</v>
      </c>
      <c r="L95">
        <v>1303972</v>
      </c>
      <c r="M95">
        <v>565.96</v>
      </c>
      <c r="N95">
        <v>54</v>
      </c>
      <c r="O95">
        <v>41.798999999999999</v>
      </c>
      <c r="P95">
        <v>-87.635000000000005</v>
      </c>
      <c r="Q95" t="s">
        <v>579</v>
      </c>
    </row>
    <row r="96" spans="1:17" x14ac:dyDescent="0.3">
      <c r="A96" t="s">
        <v>111</v>
      </c>
      <c r="B96" t="s">
        <v>275</v>
      </c>
      <c r="C96" t="s">
        <v>316</v>
      </c>
      <c r="D96" t="s">
        <v>418</v>
      </c>
      <c r="E96">
        <v>1</v>
      </c>
      <c r="G96">
        <v>1897</v>
      </c>
      <c r="H96">
        <v>1910</v>
      </c>
      <c r="I96" s="2">
        <v>44869</v>
      </c>
      <c r="J96" t="s">
        <v>566</v>
      </c>
      <c r="K96" t="s">
        <v>572</v>
      </c>
      <c r="L96">
        <v>631089</v>
      </c>
      <c r="M96">
        <v>332.68</v>
      </c>
      <c r="N96">
        <v>98</v>
      </c>
      <c r="O96">
        <v>30.245000000000001</v>
      </c>
      <c r="P96">
        <v>-97.813999999999993</v>
      </c>
    </row>
    <row r="97" spans="1:17" x14ac:dyDescent="0.3">
      <c r="A97" t="s">
        <v>112</v>
      </c>
      <c r="B97" t="s">
        <v>273</v>
      </c>
      <c r="C97" t="s">
        <v>286</v>
      </c>
      <c r="D97" t="s">
        <v>419</v>
      </c>
      <c r="E97">
        <v>1</v>
      </c>
      <c r="F97">
        <v>1</v>
      </c>
      <c r="G97">
        <v>1012</v>
      </c>
      <c r="H97">
        <v>2011</v>
      </c>
      <c r="I97" s="2">
        <v>43311</v>
      </c>
      <c r="J97" t="s">
        <v>568</v>
      </c>
      <c r="K97" t="s">
        <v>571</v>
      </c>
      <c r="L97">
        <v>517765</v>
      </c>
      <c r="M97">
        <v>511.63</v>
      </c>
      <c r="N97">
        <v>52</v>
      </c>
      <c r="O97">
        <v>45.49</v>
      </c>
      <c r="P97">
        <v>-122.664</v>
      </c>
      <c r="Q97" t="s">
        <v>575</v>
      </c>
    </row>
    <row r="98" spans="1:17" x14ac:dyDescent="0.3">
      <c r="A98" t="s">
        <v>113</v>
      </c>
      <c r="B98" t="s">
        <v>276</v>
      </c>
      <c r="C98" t="s">
        <v>307</v>
      </c>
      <c r="D98" t="s">
        <v>420</v>
      </c>
      <c r="E98">
        <v>3</v>
      </c>
      <c r="F98">
        <v>2</v>
      </c>
      <c r="G98">
        <v>2170</v>
      </c>
      <c r="H98">
        <v>1947</v>
      </c>
      <c r="I98" s="2">
        <v>44242</v>
      </c>
      <c r="J98" t="s">
        <v>570</v>
      </c>
      <c r="K98" t="s">
        <v>573</v>
      </c>
      <c r="L98">
        <v>1039979</v>
      </c>
      <c r="M98">
        <v>479.25</v>
      </c>
      <c r="N98">
        <v>28</v>
      </c>
      <c r="O98">
        <v>41.866</v>
      </c>
      <c r="P98">
        <v>-87.608000000000004</v>
      </c>
      <c r="Q98" t="s">
        <v>577</v>
      </c>
    </row>
    <row r="99" spans="1:17" x14ac:dyDescent="0.3">
      <c r="A99" t="s">
        <v>114</v>
      </c>
      <c r="B99" t="s">
        <v>268</v>
      </c>
      <c r="C99" t="s">
        <v>279</v>
      </c>
      <c r="D99" t="s">
        <v>421</v>
      </c>
      <c r="E99">
        <v>3</v>
      </c>
      <c r="F99">
        <v>3</v>
      </c>
      <c r="G99">
        <v>1977</v>
      </c>
      <c r="H99">
        <v>1934</v>
      </c>
      <c r="J99" t="s">
        <v>568</v>
      </c>
      <c r="K99" t="s">
        <v>573</v>
      </c>
      <c r="L99">
        <v>842451</v>
      </c>
      <c r="M99">
        <v>426.13</v>
      </c>
      <c r="N99">
        <v>60</v>
      </c>
      <c r="O99">
        <v>47.673999999999999</v>
      </c>
      <c r="P99">
        <v>-122.31699999999999</v>
      </c>
      <c r="Q99" t="s">
        <v>578</v>
      </c>
    </row>
    <row r="100" spans="1:17" x14ac:dyDescent="0.3">
      <c r="A100" t="s">
        <v>115</v>
      </c>
      <c r="B100" t="s">
        <v>268</v>
      </c>
      <c r="C100" t="s">
        <v>291</v>
      </c>
      <c r="D100" t="s">
        <v>422</v>
      </c>
      <c r="E100">
        <v>5</v>
      </c>
      <c r="F100">
        <v>5</v>
      </c>
      <c r="G100">
        <v>2789</v>
      </c>
      <c r="H100">
        <v>1953</v>
      </c>
      <c r="I100" s="2">
        <v>44497</v>
      </c>
      <c r="J100" t="s">
        <v>567</v>
      </c>
      <c r="K100" t="s">
        <v>571</v>
      </c>
      <c r="L100">
        <v>1465588</v>
      </c>
      <c r="M100">
        <v>525.49</v>
      </c>
      <c r="N100">
        <v>61</v>
      </c>
      <c r="O100">
        <v>47.643999999999998</v>
      </c>
      <c r="P100">
        <v>-122.27500000000001</v>
      </c>
      <c r="Q100" t="s">
        <v>577</v>
      </c>
    </row>
    <row r="101" spans="1:17" x14ac:dyDescent="0.3">
      <c r="A101" t="s">
        <v>116</v>
      </c>
      <c r="B101" t="s">
        <v>268</v>
      </c>
      <c r="C101" t="s">
        <v>282</v>
      </c>
      <c r="D101" t="s">
        <v>423</v>
      </c>
      <c r="E101">
        <v>2</v>
      </c>
      <c r="F101">
        <v>1</v>
      </c>
      <c r="G101">
        <v>1877</v>
      </c>
      <c r="H101">
        <v>1906</v>
      </c>
      <c r="I101" s="2">
        <v>44215</v>
      </c>
      <c r="J101" t="s">
        <v>569</v>
      </c>
      <c r="K101" t="s">
        <v>571</v>
      </c>
      <c r="L101">
        <v>798087</v>
      </c>
      <c r="M101">
        <v>425.19</v>
      </c>
      <c r="N101">
        <v>53</v>
      </c>
      <c r="O101">
        <v>47.597000000000001</v>
      </c>
      <c r="P101">
        <v>-122.342</v>
      </c>
      <c r="Q101" t="s">
        <v>576</v>
      </c>
    </row>
    <row r="102" spans="1:17" x14ac:dyDescent="0.3">
      <c r="A102" t="s">
        <v>117</v>
      </c>
      <c r="B102" t="s">
        <v>267</v>
      </c>
      <c r="C102" t="s">
        <v>285</v>
      </c>
      <c r="D102" t="s">
        <v>424</v>
      </c>
      <c r="E102">
        <v>4</v>
      </c>
      <c r="F102">
        <v>4</v>
      </c>
      <c r="G102">
        <v>2193</v>
      </c>
      <c r="H102">
        <v>1986</v>
      </c>
      <c r="I102" s="2">
        <v>45094</v>
      </c>
      <c r="J102" t="s">
        <v>570</v>
      </c>
      <c r="K102" t="s">
        <v>571</v>
      </c>
      <c r="L102">
        <v>1110985</v>
      </c>
      <c r="M102">
        <v>506.61</v>
      </c>
      <c r="N102">
        <v>57</v>
      </c>
      <c r="O102">
        <v>37.679000000000002</v>
      </c>
      <c r="P102">
        <v>-122.351</v>
      </c>
      <c r="Q102" t="s">
        <v>577</v>
      </c>
    </row>
    <row r="103" spans="1:17" x14ac:dyDescent="0.3">
      <c r="A103" t="s">
        <v>118</v>
      </c>
      <c r="B103" t="s">
        <v>276</v>
      </c>
      <c r="C103" t="s">
        <v>317</v>
      </c>
      <c r="D103" t="s">
        <v>425</v>
      </c>
      <c r="E103">
        <v>2</v>
      </c>
      <c r="F103">
        <v>1</v>
      </c>
      <c r="G103">
        <v>1953</v>
      </c>
      <c r="H103">
        <v>1997</v>
      </c>
      <c r="I103" s="2">
        <v>44286</v>
      </c>
      <c r="J103" t="s">
        <v>568</v>
      </c>
      <c r="K103" t="s">
        <v>573</v>
      </c>
      <c r="L103">
        <v>893172</v>
      </c>
      <c r="M103">
        <v>457.33</v>
      </c>
      <c r="N103">
        <v>38</v>
      </c>
      <c r="O103">
        <v>41.878999999999998</v>
      </c>
      <c r="P103">
        <v>-87.634</v>
      </c>
      <c r="Q103" t="s">
        <v>575</v>
      </c>
    </row>
    <row r="104" spans="1:17" x14ac:dyDescent="0.3">
      <c r="A104" t="s">
        <v>119</v>
      </c>
      <c r="B104" t="s">
        <v>276</v>
      </c>
      <c r="C104" t="s">
        <v>318</v>
      </c>
      <c r="D104" t="s">
        <v>426</v>
      </c>
      <c r="E104">
        <v>5</v>
      </c>
      <c r="F104">
        <v>4</v>
      </c>
      <c r="G104">
        <v>3019</v>
      </c>
      <c r="H104">
        <v>2003</v>
      </c>
      <c r="I104" s="2">
        <v>43396</v>
      </c>
      <c r="J104" t="s">
        <v>569</v>
      </c>
      <c r="K104" t="s">
        <v>572</v>
      </c>
      <c r="L104">
        <v>1772344</v>
      </c>
      <c r="M104">
        <v>587.05999999999995</v>
      </c>
      <c r="N104">
        <v>51</v>
      </c>
      <c r="O104">
        <v>41.787999999999997</v>
      </c>
      <c r="P104">
        <v>-87.715999999999994</v>
      </c>
    </row>
    <row r="105" spans="1:17" x14ac:dyDescent="0.3">
      <c r="A105" t="s">
        <v>120</v>
      </c>
      <c r="B105" t="s">
        <v>274</v>
      </c>
      <c r="C105" t="s">
        <v>292</v>
      </c>
      <c r="D105" t="s">
        <v>427</v>
      </c>
      <c r="E105">
        <v>5</v>
      </c>
      <c r="F105">
        <v>5</v>
      </c>
      <c r="G105">
        <v>2649</v>
      </c>
      <c r="H105">
        <v>1981</v>
      </c>
      <c r="I105" s="2">
        <v>44286</v>
      </c>
      <c r="J105" t="s">
        <v>566</v>
      </c>
      <c r="K105" t="s">
        <v>571</v>
      </c>
      <c r="L105">
        <v>1917302</v>
      </c>
      <c r="M105">
        <v>723.78</v>
      </c>
      <c r="N105">
        <v>67</v>
      </c>
      <c r="O105">
        <v>34.143000000000001</v>
      </c>
      <c r="P105">
        <v>-118.306</v>
      </c>
      <c r="Q105" t="s">
        <v>577</v>
      </c>
    </row>
    <row r="106" spans="1:17" x14ac:dyDescent="0.3">
      <c r="A106" t="s">
        <v>121</v>
      </c>
      <c r="B106" t="s">
        <v>267</v>
      </c>
      <c r="C106" t="s">
        <v>293</v>
      </c>
      <c r="D106" t="s">
        <v>428</v>
      </c>
      <c r="E106">
        <v>1</v>
      </c>
      <c r="F106">
        <v>1</v>
      </c>
      <c r="G106">
        <v>1706</v>
      </c>
      <c r="H106">
        <v>1975</v>
      </c>
      <c r="I106" s="2">
        <v>45247</v>
      </c>
      <c r="J106" t="s">
        <v>566</v>
      </c>
      <c r="K106" t="s">
        <v>571</v>
      </c>
      <c r="L106">
        <v>693761</v>
      </c>
      <c r="M106">
        <v>406.66</v>
      </c>
      <c r="N106">
        <v>74</v>
      </c>
      <c r="O106">
        <v>37.731999999999999</v>
      </c>
      <c r="P106">
        <v>-122.36199999999999</v>
      </c>
      <c r="Q106" t="s">
        <v>576</v>
      </c>
    </row>
    <row r="107" spans="1:17" x14ac:dyDescent="0.3">
      <c r="A107" t="s">
        <v>122</v>
      </c>
      <c r="B107" t="s">
        <v>267</v>
      </c>
      <c r="C107" t="s">
        <v>286</v>
      </c>
      <c r="D107" t="s">
        <v>429</v>
      </c>
      <c r="E107">
        <v>1</v>
      </c>
      <c r="F107">
        <v>1</v>
      </c>
      <c r="G107">
        <v>1505</v>
      </c>
      <c r="H107">
        <v>1924</v>
      </c>
      <c r="I107" s="2">
        <v>44539</v>
      </c>
      <c r="J107" t="s">
        <v>567</v>
      </c>
      <c r="K107" t="s">
        <v>573</v>
      </c>
      <c r="L107">
        <v>600381</v>
      </c>
      <c r="M107">
        <v>398.92</v>
      </c>
      <c r="N107">
        <v>25</v>
      </c>
      <c r="O107">
        <v>37.698999999999998</v>
      </c>
      <c r="P107">
        <v>-122.39100000000001</v>
      </c>
      <c r="Q107" t="s">
        <v>577</v>
      </c>
    </row>
    <row r="108" spans="1:17" x14ac:dyDescent="0.3">
      <c r="A108" t="s">
        <v>123</v>
      </c>
      <c r="B108" t="s">
        <v>275</v>
      </c>
      <c r="C108" t="s">
        <v>316</v>
      </c>
      <c r="D108" t="s">
        <v>430</v>
      </c>
      <c r="E108">
        <v>4</v>
      </c>
      <c r="F108">
        <v>3</v>
      </c>
      <c r="G108">
        <v>2481</v>
      </c>
      <c r="H108">
        <v>1997</v>
      </c>
      <c r="I108" s="2">
        <v>44939</v>
      </c>
      <c r="J108" t="s">
        <v>570</v>
      </c>
      <c r="K108" t="s">
        <v>571</v>
      </c>
      <c r="L108">
        <v>1345311</v>
      </c>
      <c r="M108">
        <v>542.25</v>
      </c>
      <c r="N108">
        <v>37</v>
      </c>
      <c r="O108">
        <v>30.367000000000001</v>
      </c>
      <c r="P108">
        <v>-97.775000000000006</v>
      </c>
      <c r="Q108" t="s">
        <v>579</v>
      </c>
    </row>
    <row r="109" spans="1:17" x14ac:dyDescent="0.3">
      <c r="A109" t="s">
        <v>124</v>
      </c>
      <c r="B109" t="s">
        <v>270</v>
      </c>
      <c r="C109" t="s">
        <v>314</v>
      </c>
      <c r="D109" t="s">
        <v>431</v>
      </c>
      <c r="E109">
        <v>4</v>
      </c>
      <c r="F109">
        <v>4</v>
      </c>
      <c r="G109">
        <v>2549</v>
      </c>
      <c r="H109">
        <v>1938</v>
      </c>
      <c r="I109" s="2">
        <v>45523</v>
      </c>
      <c r="J109" t="s">
        <v>566</v>
      </c>
      <c r="K109" t="s">
        <v>571</v>
      </c>
      <c r="L109">
        <v>1545244</v>
      </c>
      <c r="M109">
        <v>606.22</v>
      </c>
      <c r="N109">
        <v>97</v>
      </c>
      <c r="O109">
        <v>40.625</v>
      </c>
      <c r="P109">
        <v>-74.018000000000001</v>
      </c>
    </row>
    <row r="110" spans="1:17" x14ac:dyDescent="0.3">
      <c r="A110" t="s">
        <v>125</v>
      </c>
      <c r="B110" t="s">
        <v>271</v>
      </c>
      <c r="C110" t="s">
        <v>283</v>
      </c>
      <c r="D110" t="s">
        <v>432</v>
      </c>
      <c r="E110">
        <v>1</v>
      </c>
      <c r="F110">
        <v>1</v>
      </c>
      <c r="G110">
        <v>1248</v>
      </c>
      <c r="H110">
        <v>1964</v>
      </c>
      <c r="I110" s="2">
        <v>44996</v>
      </c>
      <c r="J110" t="s">
        <v>570</v>
      </c>
      <c r="K110" t="s">
        <v>571</v>
      </c>
      <c r="L110">
        <v>480685</v>
      </c>
      <c r="M110">
        <v>385.16</v>
      </c>
      <c r="N110">
        <v>69</v>
      </c>
      <c r="O110">
        <v>42.417999999999999</v>
      </c>
      <c r="P110">
        <v>-70.980999999999995</v>
      </c>
      <c r="Q110" t="s">
        <v>578</v>
      </c>
    </row>
    <row r="111" spans="1:17" x14ac:dyDescent="0.3">
      <c r="A111" t="s">
        <v>126</v>
      </c>
      <c r="B111" t="s">
        <v>276</v>
      </c>
      <c r="C111" t="s">
        <v>317</v>
      </c>
      <c r="D111" t="s">
        <v>433</v>
      </c>
      <c r="E111">
        <v>5</v>
      </c>
      <c r="F111">
        <v>5</v>
      </c>
      <c r="G111">
        <v>2898</v>
      </c>
      <c r="H111">
        <v>1919</v>
      </c>
      <c r="I111" s="2">
        <v>44946</v>
      </c>
      <c r="J111" t="s">
        <v>566</v>
      </c>
      <c r="K111" t="s">
        <v>572</v>
      </c>
      <c r="L111">
        <v>1824284</v>
      </c>
      <c r="M111">
        <v>629.5</v>
      </c>
      <c r="N111">
        <v>53</v>
      </c>
      <c r="O111">
        <v>41.947000000000003</v>
      </c>
      <c r="P111">
        <v>-87.524000000000001</v>
      </c>
    </row>
    <row r="112" spans="1:17" x14ac:dyDescent="0.3">
      <c r="A112" t="s">
        <v>127</v>
      </c>
      <c r="B112" t="s">
        <v>268</v>
      </c>
      <c r="C112" t="s">
        <v>282</v>
      </c>
      <c r="D112" t="s">
        <v>434</v>
      </c>
      <c r="E112">
        <v>4</v>
      </c>
      <c r="F112">
        <v>3</v>
      </c>
      <c r="G112">
        <v>2397</v>
      </c>
      <c r="H112">
        <v>1967</v>
      </c>
      <c r="I112" s="2">
        <v>45598</v>
      </c>
      <c r="J112" t="s">
        <v>567</v>
      </c>
      <c r="K112" t="s">
        <v>571</v>
      </c>
      <c r="L112">
        <v>1126466</v>
      </c>
      <c r="M112">
        <v>469.95</v>
      </c>
      <c r="N112">
        <v>37</v>
      </c>
      <c r="O112">
        <v>47.683999999999997</v>
      </c>
      <c r="P112">
        <v>-122.35299999999999</v>
      </c>
      <c r="Q112" t="s">
        <v>576</v>
      </c>
    </row>
    <row r="113" spans="1:17" x14ac:dyDescent="0.3">
      <c r="A113" t="s">
        <v>128</v>
      </c>
      <c r="B113" t="s">
        <v>268</v>
      </c>
      <c r="C113" t="s">
        <v>319</v>
      </c>
      <c r="D113" t="s">
        <v>435</v>
      </c>
      <c r="E113">
        <v>1</v>
      </c>
      <c r="F113">
        <v>1</v>
      </c>
      <c r="G113">
        <v>1331</v>
      </c>
      <c r="H113">
        <v>1971</v>
      </c>
      <c r="J113" t="s">
        <v>568</v>
      </c>
      <c r="K113" t="s">
        <v>572</v>
      </c>
      <c r="L113">
        <v>523092</v>
      </c>
      <c r="M113">
        <v>393.01</v>
      </c>
      <c r="N113">
        <v>30</v>
      </c>
      <c r="O113">
        <v>47.631</v>
      </c>
      <c r="P113">
        <v>-122.249</v>
      </c>
      <c r="Q113" t="s">
        <v>575</v>
      </c>
    </row>
    <row r="114" spans="1:17" x14ac:dyDescent="0.3">
      <c r="A114" t="s">
        <v>129</v>
      </c>
      <c r="B114" t="s">
        <v>274</v>
      </c>
      <c r="C114" t="s">
        <v>320</v>
      </c>
      <c r="D114" t="s">
        <v>436</v>
      </c>
      <c r="E114">
        <v>3</v>
      </c>
      <c r="F114">
        <v>3</v>
      </c>
      <c r="G114">
        <v>1894</v>
      </c>
      <c r="H114">
        <v>1983</v>
      </c>
      <c r="I114" s="2">
        <v>43629</v>
      </c>
      <c r="J114" t="s">
        <v>570</v>
      </c>
      <c r="K114" t="s">
        <v>572</v>
      </c>
      <c r="L114">
        <v>1174285</v>
      </c>
      <c r="M114">
        <v>620</v>
      </c>
      <c r="N114">
        <v>47</v>
      </c>
      <c r="O114">
        <v>33.966999999999999</v>
      </c>
      <c r="P114">
        <v>-118.22799999999999</v>
      </c>
      <c r="Q114" t="s">
        <v>579</v>
      </c>
    </row>
    <row r="115" spans="1:17" x14ac:dyDescent="0.3">
      <c r="A115" t="s">
        <v>130</v>
      </c>
      <c r="B115" t="s">
        <v>275</v>
      </c>
      <c r="C115" t="s">
        <v>302</v>
      </c>
      <c r="D115" t="s">
        <v>378</v>
      </c>
      <c r="E115">
        <v>1</v>
      </c>
      <c r="F115">
        <v>1</v>
      </c>
      <c r="G115">
        <v>1359</v>
      </c>
      <c r="H115">
        <v>1954</v>
      </c>
      <c r="I115" s="2">
        <v>44583</v>
      </c>
      <c r="J115" t="s">
        <v>566</v>
      </c>
      <c r="K115" t="s">
        <v>571</v>
      </c>
      <c r="L115">
        <v>498487</v>
      </c>
      <c r="M115">
        <v>366.8</v>
      </c>
      <c r="N115">
        <v>42</v>
      </c>
      <c r="O115">
        <v>30.206</v>
      </c>
      <c r="P115">
        <v>-97.796999999999997</v>
      </c>
      <c r="Q115" t="s">
        <v>578</v>
      </c>
    </row>
    <row r="116" spans="1:17" x14ac:dyDescent="0.3">
      <c r="A116" t="s">
        <v>131</v>
      </c>
      <c r="B116" t="s">
        <v>275</v>
      </c>
      <c r="C116" t="s">
        <v>295</v>
      </c>
      <c r="D116" t="s">
        <v>437</v>
      </c>
      <c r="E116">
        <v>1</v>
      </c>
      <c r="F116">
        <v>1</v>
      </c>
      <c r="G116">
        <v>1561</v>
      </c>
      <c r="H116">
        <v>2000</v>
      </c>
      <c r="I116" s="2">
        <v>45180</v>
      </c>
      <c r="J116" t="s">
        <v>570</v>
      </c>
      <c r="K116" t="s">
        <v>572</v>
      </c>
      <c r="L116">
        <v>564198</v>
      </c>
      <c r="M116">
        <v>361.43</v>
      </c>
      <c r="N116">
        <v>20</v>
      </c>
      <c r="O116">
        <v>30.347000000000001</v>
      </c>
      <c r="P116">
        <v>-97.831999999999994</v>
      </c>
      <c r="Q116" t="s">
        <v>576</v>
      </c>
    </row>
    <row r="117" spans="1:17" x14ac:dyDescent="0.3">
      <c r="A117" t="s">
        <v>132</v>
      </c>
      <c r="B117" t="s">
        <v>275</v>
      </c>
      <c r="C117" t="s">
        <v>302</v>
      </c>
      <c r="D117" t="s">
        <v>438</v>
      </c>
      <c r="E117">
        <v>4</v>
      </c>
      <c r="F117">
        <v>4</v>
      </c>
      <c r="G117">
        <v>2458</v>
      </c>
      <c r="H117">
        <v>1923</v>
      </c>
      <c r="I117" s="2">
        <v>44893</v>
      </c>
      <c r="J117" t="s">
        <v>566</v>
      </c>
      <c r="K117" t="s">
        <v>571</v>
      </c>
      <c r="L117">
        <v>1175604</v>
      </c>
      <c r="M117">
        <v>478.28</v>
      </c>
      <c r="N117">
        <v>7</v>
      </c>
      <c r="O117">
        <v>30.305</v>
      </c>
      <c r="P117">
        <v>-97.792000000000002</v>
      </c>
      <c r="Q117" t="s">
        <v>578</v>
      </c>
    </row>
    <row r="118" spans="1:17" x14ac:dyDescent="0.3">
      <c r="A118" t="s">
        <v>133</v>
      </c>
      <c r="B118" t="s">
        <v>270</v>
      </c>
      <c r="C118" t="s">
        <v>304</v>
      </c>
      <c r="D118" t="s">
        <v>439</v>
      </c>
      <c r="E118">
        <v>5</v>
      </c>
      <c r="F118">
        <v>5</v>
      </c>
      <c r="G118">
        <v>2520</v>
      </c>
      <c r="H118">
        <v>2003</v>
      </c>
      <c r="I118" s="2">
        <v>43895</v>
      </c>
      <c r="J118" t="s">
        <v>568</v>
      </c>
      <c r="K118" t="s">
        <v>571</v>
      </c>
      <c r="L118">
        <v>1726857</v>
      </c>
      <c r="M118">
        <v>685.26</v>
      </c>
      <c r="N118">
        <v>44</v>
      </c>
      <c r="O118">
        <v>40.723999999999997</v>
      </c>
      <c r="P118">
        <v>-74.022000000000006</v>
      </c>
      <c r="Q118" t="s">
        <v>576</v>
      </c>
    </row>
    <row r="119" spans="1:17" x14ac:dyDescent="0.3">
      <c r="A119" t="s">
        <v>134</v>
      </c>
      <c r="B119" t="s">
        <v>273</v>
      </c>
      <c r="C119" t="s">
        <v>315</v>
      </c>
      <c r="D119" t="s">
        <v>440</v>
      </c>
      <c r="E119">
        <v>4</v>
      </c>
      <c r="F119">
        <v>3</v>
      </c>
      <c r="G119">
        <v>2769</v>
      </c>
      <c r="H119">
        <v>2004</v>
      </c>
      <c r="I119" s="2">
        <v>45577</v>
      </c>
      <c r="J119" t="s">
        <v>567</v>
      </c>
      <c r="K119" t="s">
        <v>572</v>
      </c>
      <c r="L119">
        <v>1914773</v>
      </c>
      <c r="M119">
        <v>691.5</v>
      </c>
      <c r="N119">
        <v>30</v>
      </c>
      <c r="O119">
        <v>45.43</v>
      </c>
      <c r="P119">
        <v>-122.684</v>
      </c>
      <c r="Q119" t="s">
        <v>576</v>
      </c>
    </row>
    <row r="120" spans="1:17" x14ac:dyDescent="0.3">
      <c r="A120" t="s">
        <v>135</v>
      </c>
      <c r="B120" t="s">
        <v>277</v>
      </c>
      <c r="C120" t="s">
        <v>309</v>
      </c>
      <c r="D120" t="s">
        <v>441</v>
      </c>
      <c r="E120">
        <v>3</v>
      </c>
      <c r="F120">
        <v>3</v>
      </c>
      <c r="G120">
        <v>2095</v>
      </c>
      <c r="H120">
        <v>1920</v>
      </c>
      <c r="I120" s="2">
        <v>44941</v>
      </c>
      <c r="J120" t="s">
        <v>570</v>
      </c>
      <c r="K120" t="s">
        <v>573</v>
      </c>
      <c r="L120">
        <v>1192027</v>
      </c>
      <c r="M120">
        <v>568.99</v>
      </c>
      <c r="N120">
        <v>34</v>
      </c>
      <c r="O120">
        <v>45.506999999999998</v>
      </c>
      <c r="P120">
        <v>-122.59099999999999</v>
      </c>
      <c r="Q120" t="s">
        <v>575</v>
      </c>
    </row>
    <row r="121" spans="1:17" x14ac:dyDescent="0.3">
      <c r="A121" t="s">
        <v>136</v>
      </c>
      <c r="B121" t="s">
        <v>269</v>
      </c>
      <c r="C121" t="s">
        <v>321</v>
      </c>
      <c r="D121" t="s">
        <v>442</v>
      </c>
      <c r="E121">
        <v>4</v>
      </c>
      <c r="F121">
        <v>4</v>
      </c>
      <c r="G121">
        <v>2328</v>
      </c>
      <c r="H121">
        <v>1964</v>
      </c>
      <c r="I121" s="2">
        <v>44066</v>
      </c>
      <c r="J121" t="s">
        <v>569</v>
      </c>
      <c r="K121" t="s">
        <v>574</v>
      </c>
      <c r="L121">
        <v>1431571</v>
      </c>
      <c r="M121">
        <v>614.94000000000005</v>
      </c>
      <c r="N121">
        <v>10</v>
      </c>
      <c r="O121">
        <v>39.715000000000003</v>
      </c>
      <c r="P121">
        <v>-105.084</v>
      </c>
    </row>
    <row r="122" spans="1:17" x14ac:dyDescent="0.3">
      <c r="A122" t="s">
        <v>137</v>
      </c>
      <c r="B122" t="s">
        <v>275</v>
      </c>
      <c r="C122" t="s">
        <v>295</v>
      </c>
      <c r="D122" t="s">
        <v>443</v>
      </c>
      <c r="E122">
        <v>1</v>
      </c>
      <c r="F122">
        <v>1</v>
      </c>
      <c r="G122">
        <v>1630</v>
      </c>
      <c r="H122">
        <v>2006</v>
      </c>
      <c r="I122" s="2">
        <v>43669</v>
      </c>
      <c r="J122" t="s">
        <v>569</v>
      </c>
      <c r="K122" t="s">
        <v>571</v>
      </c>
      <c r="L122">
        <v>746092</v>
      </c>
      <c r="M122">
        <v>457.73</v>
      </c>
      <c r="N122">
        <v>31</v>
      </c>
      <c r="O122">
        <v>30.170999999999999</v>
      </c>
      <c r="P122">
        <v>-97.823999999999998</v>
      </c>
      <c r="Q122" t="s">
        <v>576</v>
      </c>
    </row>
    <row r="123" spans="1:17" x14ac:dyDescent="0.3">
      <c r="A123" t="s">
        <v>138</v>
      </c>
      <c r="B123" t="s">
        <v>273</v>
      </c>
      <c r="C123" t="s">
        <v>315</v>
      </c>
      <c r="D123" t="s">
        <v>444</v>
      </c>
      <c r="E123">
        <v>5</v>
      </c>
      <c r="F123">
        <v>5</v>
      </c>
      <c r="G123">
        <v>2800</v>
      </c>
      <c r="H123">
        <v>1999</v>
      </c>
      <c r="I123" s="2">
        <v>44074</v>
      </c>
      <c r="J123" t="s">
        <v>568</v>
      </c>
      <c r="K123" t="s">
        <v>573</v>
      </c>
      <c r="L123">
        <v>2065281</v>
      </c>
      <c r="M123">
        <v>737.6</v>
      </c>
      <c r="N123">
        <v>22</v>
      </c>
      <c r="O123">
        <v>45.468000000000004</v>
      </c>
      <c r="P123">
        <v>-122.652</v>
      </c>
      <c r="Q123" t="s">
        <v>577</v>
      </c>
    </row>
    <row r="124" spans="1:17" x14ac:dyDescent="0.3">
      <c r="A124" t="s">
        <v>139</v>
      </c>
      <c r="B124" t="s">
        <v>267</v>
      </c>
      <c r="C124" t="s">
        <v>293</v>
      </c>
      <c r="D124" t="s">
        <v>445</v>
      </c>
      <c r="E124">
        <v>5</v>
      </c>
      <c r="F124">
        <v>5</v>
      </c>
      <c r="G124">
        <v>2756</v>
      </c>
      <c r="H124">
        <v>1980</v>
      </c>
      <c r="I124" s="2">
        <v>45456</v>
      </c>
      <c r="J124" t="s">
        <v>567</v>
      </c>
      <c r="K124" t="s">
        <v>572</v>
      </c>
      <c r="L124">
        <v>1587451</v>
      </c>
      <c r="M124">
        <v>576</v>
      </c>
      <c r="N124">
        <v>37</v>
      </c>
      <c r="O124">
        <v>37.728000000000002</v>
      </c>
      <c r="P124">
        <v>-122.43</v>
      </c>
      <c r="Q124" t="s">
        <v>576</v>
      </c>
    </row>
    <row r="125" spans="1:17" x14ac:dyDescent="0.3">
      <c r="A125" t="s">
        <v>140</v>
      </c>
      <c r="B125" t="s">
        <v>272</v>
      </c>
      <c r="C125" t="s">
        <v>298</v>
      </c>
      <c r="D125" t="s">
        <v>446</v>
      </c>
      <c r="E125">
        <v>1</v>
      </c>
      <c r="F125">
        <v>1</v>
      </c>
      <c r="G125">
        <v>1307</v>
      </c>
      <c r="H125">
        <v>1946</v>
      </c>
      <c r="I125" s="2">
        <v>45255</v>
      </c>
      <c r="J125" t="s">
        <v>570</v>
      </c>
      <c r="K125" t="s">
        <v>571</v>
      </c>
      <c r="L125">
        <v>600032</v>
      </c>
      <c r="M125">
        <v>459.09</v>
      </c>
      <c r="N125">
        <v>49</v>
      </c>
      <c r="O125">
        <v>25.858000000000001</v>
      </c>
      <c r="P125">
        <v>-80.179000000000002</v>
      </c>
      <c r="Q125" t="s">
        <v>578</v>
      </c>
    </row>
    <row r="126" spans="1:17" x14ac:dyDescent="0.3">
      <c r="A126" t="s">
        <v>141</v>
      </c>
      <c r="B126" t="s">
        <v>268</v>
      </c>
      <c r="C126" t="s">
        <v>303</v>
      </c>
      <c r="D126" t="s">
        <v>386</v>
      </c>
      <c r="E126">
        <v>3</v>
      </c>
      <c r="F126">
        <v>3</v>
      </c>
      <c r="G126">
        <v>2463</v>
      </c>
      <c r="H126">
        <v>1902</v>
      </c>
      <c r="I126" s="2">
        <v>43377</v>
      </c>
      <c r="J126" t="s">
        <v>568</v>
      </c>
      <c r="K126" t="s">
        <v>573</v>
      </c>
      <c r="L126">
        <v>1205346</v>
      </c>
      <c r="M126">
        <v>489.38</v>
      </c>
      <c r="N126">
        <v>99</v>
      </c>
      <c r="O126">
        <v>47.631</v>
      </c>
      <c r="P126">
        <v>-122.40900000000001</v>
      </c>
      <c r="Q126" t="s">
        <v>577</v>
      </c>
    </row>
    <row r="127" spans="1:17" x14ac:dyDescent="0.3">
      <c r="A127" t="s">
        <v>142</v>
      </c>
      <c r="B127" t="s">
        <v>275</v>
      </c>
      <c r="C127" t="s">
        <v>296</v>
      </c>
      <c r="D127" t="s">
        <v>447</v>
      </c>
      <c r="E127">
        <v>3</v>
      </c>
      <c r="F127">
        <v>3</v>
      </c>
      <c r="G127">
        <v>1908</v>
      </c>
      <c r="H127">
        <v>2004</v>
      </c>
      <c r="I127" s="2">
        <v>45004</v>
      </c>
      <c r="J127" t="s">
        <v>569</v>
      </c>
      <c r="K127" t="s">
        <v>571</v>
      </c>
      <c r="L127">
        <v>993174</v>
      </c>
      <c r="M127">
        <v>520.53</v>
      </c>
      <c r="N127">
        <v>40</v>
      </c>
      <c r="O127">
        <v>30.332000000000001</v>
      </c>
      <c r="P127">
        <v>-97.826999999999998</v>
      </c>
      <c r="Q127" t="s">
        <v>578</v>
      </c>
    </row>
    <row r="128" spans="1:17" x14ac:dyDescent="0.3">
      <c r="A128" t="s">
        <v>143</v>
      </c>
      <c r="B128" t="s">
        <v>276</v>
      </c>
      <c r="C128" t="s">
        <v>307</v>
      </c>
      <c r="D128" t="s">
        <v>448</v>
      </c>
      <c r="E128">
        <v>2</v>
      </c>
      <c r="F128">
        <v>1</v>
      </c>
      <c r="G128">
        <v>2347</v>
      </c>
      <c r="H128">
        <v>1940</v>
      </c>
      <c r="J128" t="s">
        <v>569</v>
      </c>
      <c r="K128" t="s">
        <v>574</v>
      </c>
      <c r="L128">
        <v>1004837</v>
      </c>
      <c r="M128">
        <v>428.14</v>
      </c>
      <c r="N128">
        <v>9</v>
      </c>
      <c r="O128">
        <v>41.889000000000003</v>
      </c>
      <c r="P128">
        <v>-87.668999999999997</v>
      </c>
      <c r="Q128" t="s">
        <v>579</v>
      </c>
    </row>
    <row r="129" spans="1:17" x14ac:dyDescent="0.3">
      <c r="A129" t="s">
        <v>144</v>
      </c>
      <c r="B129" t="s">
        <v>269</v>
      </c>
      <c r="C129" t="s">
        <v>321</v>
      </c>
      <c r="D129" t="s">
        <v>449</v>
      </c>
      <c r="E129">
        <v>3</v>
      </c>
      <c r="F129">
        <v>3</v>
      </c>
      <c r="G129">
        <v>1950</v>
      </c>
      <c r="H129">
        <v>2002</v>
      </c>
      <c r="I129" s="2">
        <v>44890</v>
      </c>
      <c r="J129" t="s">
        <v>569</v>
      </c>
      <c r="K129" t="s">
        <v>572</v>
      </c>
      <c r="L129">
        <v>910868</v>
      </c>
      <c r="M129">
        <v>467.11</v>
      </c>
      <c r="N129">
        <v>19</v>
      </c>
      <c r="O129">
        <v>39.819000000000003</v>
      </c>
      <c r="P129">
        <v>-105.01300000000001</v>
      </c>
      <c r="Q129" t="s">
        <v>575</v>
      </c>
    </row>
    <row r="130" spans="1:17" x14ac:dyDescent="0.3">
      <c r="A130" t="s">
        <v>145</v>
      </c>
      <c r="B130" t="s">
        <v>269</v>
      </c>
      <c r="C130" t="s">
        <v>322</v>
      </c>
      <c r="D130" t="s">
        <v>450</v>
      </c>
      <c r="E130">
        <v>3</v>
      </c>
      <c r="F130">
        <v>2</v>
      </c>
      <c r="G130">
        <v>1910</v>
      </c>
      <c r="H130">
        <v>1993</v>
      </c>
      <c r="I130" s="2">
        <v>43424</v>
      </c>
      <c r="J130" t="s">
        <v>569</v>
      </c>
      <c r="K130" t="s">
        <v>571</v>
      </c>
      <c r="L130">
        <v>1069780</v>
      </c>
      <c r="M130">
        <v>560.09</v>
      </c>
      <c r="N130">
        <v>45</v>
      </c>
      <c r="O130">
        <v>39.804000000000002</v>
      </c>
      <c r="P130">
        <v>-104.98099999999999</v>
      </c>
      <c r="Q130" t="s">
        <v>576</v>
      </c>
    </row>
    <row r="131" spans="1:17" x14ac:dyDescent="0.3">
      <c r="A131" t="s">
        <v>146</v>
      </c>
      <c r="B131" t="s">
        <v>269</v>
      </c>
      <c r="C131" t="s">
        <v>280</v>
      </c>
      <c r="D131" t="s">
        <v>451</v>
      </c>
      <c r="E131">
        <v>3</v>
      </c>
      <c r="F131">
        <v>3</v>
      </c>
      <c r="G131">
        <v>2569</v>
      </c>
      <c r="H131">
        <v>1991</v>
      </c>
      <c r="I131" s="2">
        <v>43783</v>
      </c>
      <c r="J131" t="s">
        <v>569</v>
      </c>
      <c r="K131" t="s">
        <v>571</v>
      </c>
      <c r="L131">
        <v>1518497</v>
      </c>
      <c r="M131">
        <v>591.08000000000004</v>
      </c>
      <c r="N131">
        <v>17</v>
      </c>
      <c r="O131">
        <v>39.648000000000003</v>
      </c>
      <c r="P131">
        <v>-104.916</v>
      </c>
      <c r="Q131" t="s">
        <v>576</v>
      </c>
    </row>
    <row r="132" spans="1:17" x14ac:dyDescent="0.3">
      <c r="A132" t="s">
        <v>147</v>
      </c>
      <c r="B132" t="s">
        <v>271</v>
      </c>
      <c r="C132" t="s">
        <v>283</v>
      </c>
      <c r="D132" t="s">
        <v>452</v>
      </c>
      <c r="E132">
        <v>1</v>
      </c>
      <c r="F132">
        <v>1</v>
      </c>
      <c r="G132">
        <v>1275</v>
      </c>
      <c r="H132">
        <v>1951</v>
      </c>
      <c r="I132" s="2">
        <v>45202</v>
      </c>
      <c r="J132" t="s">
        <v>567</v>
      </c>
      <c r="K132" t="s">
        <v>574</v>
      </c>
      <c r="L132">
        <v>577559</v>
      </c>
      <c r="M132">
        <v>452.99</v>
      </c>
      <c r="N132">
        <v>4</v>
      </c>
      <c r="O132">
        <v>42.289000000000001</v>
      </c>
      <c r="P132">
        <v>-71.037999999999997</v>
      </c>
      <c r="Q132" t="s">
        <v>578</v>
      </c>
    </row>
    <row r="133" spans="1:17" x14ac:dyDescent="0.3">
      <c r="A133" t="s">
        <v>148</v>
      </c>
      <c r="B133" t="s">
        <v>267</v>
      </c>
      <c r="C133" t="s">
        <v>311</v>
      </c>
      <c r="D133" t="s">
        <v>453</v>
      </c>
      <c r="E133">
        <v>3</v>
      </c>
      <c r="F133">
        <v>3</v>
      </c>
      <c r="G133">
        <v>2558</v>
      </c>
      <c r="H133">
        <v>1972</v>
      </c>
      <c r="I133" s="2">
        <v>45579</v>
      </c>
      <c r="J133" t="s">
        <v>567</v>
      </c>
      <c r="K133" t="s">
        <v>571</v>
      </c>
      <c r="L133">
        <v>1304608</v>
      </c>
      <c r="M133">
        <v>510.01</v>
      </c>
      <c r="N133">
        <v>20</v>
      </c>
      <c r="O133">
        <v>37.86</v>
      </c>
      <c r="P133">
        <v>-122.35599999999999</v>
      </c>
    </row>
    <row r="134" spans="1:17" x14ac:dyDescent="0.3">
      <c r="A134" t="s">
        <v>149</v>
      </c>
      <c r="B134" t="s">
        <v>273</v>
      </c>
      <c r="C134" t="s">
        <v>286</v>
      </c>
      <c r="D134" t="s">
        <v>454</v>
      </c>
      <c r="E134">
        <v>4</v>
      </c>
      <c r="F134">
        <v>4</v>
      </c>
      <c r="G134">
        <v>1972</v>
      </c>
      <c r="H134">
        <v>1935</v>
      </c>
      <c r="I134" s="2">
        <v>43565</v>
      </c>
      <c r="J134" t="s">
        <v>566</v>
      </c>
      <c r="K134" t="s">
        <v>572</v>
      </c>
      <c r="L134">
        <v>1404366</v>
      </c>
      <c r="M134">
        <v>712.15</v>
      </c>
      <c r="N134">
        <v>31</v>
      </c>
      <c r="O134">
        <v>45.52</v>
      </c>
      <c r="P134">
        <v>-122.703</v>
      </c>
      <c r="Q134" t="s">
        <v>577</v>
      </c>
    </row>
    <row r="135" spans="1:17" x14ac:dyDescent="0.3">
      <c r="A135" t="s">
        <v>150</v>
      </c>
      <c r="B135" t="s">
        <v>271</v>
      </c>
      <c r="C135" t="s">
        <v>290</v>
      </c>
      <c r="D135" t="s">
        <v>455</v>
      </c>
      <c r="E135">
        <v>2</v>
      </c>
      <c r="F135">
        <v>1</v>
      </c>
      <c r="G135">
        <v>2109</v>
      </c>
      <c r="H135">
        <v>1936</v>
      </c>
      <c r="I135" s="2">
        <v>43920</v>
      </c>
      <c r="J135" t="s">
        <v>566</v>
      </c>
      <c r="K135" t="s">
        <v>573</v>
      </c>
      <c r="L135">
        <v>889535</v>
      </c>
      <c r="M135">
        <v>421.78</v>
      </c>
      <c r="N135">
        <v>17</v>
      </c>
      <c r="O135">
        <v>42.274999999999999</v>
      </c>
      <c r="P135">
        <v>-71.125</v>
      </c>
      <c r="Q135" t="s">
        <v>579</v>
      </c>
    </row>
    <row r="136" spans="1:17" x14ac:dyDescent="0.3">
      <c r="A136" t="s">
        <v>151</v>
      </c>
      <c r="B136" t="s">
        <v>269</v>
      </c>
      <c r="C136" t="s">
        <v>280</v>
      </c>
      <c r="D136" t="s">
        <v>399</v>
      </c>
      <c r="E136">
        <v>1</v>
      </c>
      <c r="F136">
        <v>1</v>
      </c>
      <c r="G136">
        <v>1501</v>
      </c>
      <c r="H136">
        <v>1937</v>
      </c>
      <c r="I136" s="2">
        <v>43746</v>
      </c>
      <c r="J136" t="s">
        <v>567</v>
      </c>
      <c r="K136" t="s">
        <v>572</v>
      </c>
      <c r="L136">
        <v>678109</v>
      </c>
      <c r="M136">
        <v>451.77</v>
      </c>
      <c r="N136">
        <v>21</v>
      </c>
      <c r="O136">
        <v>39.741999999999997</v>
      </c>
      <c r="P136">
        <v>-105.066</v>
      </c>
      <c r="Q136" t="s">
        <v>575</v>
      </c>
    </row>
    <row r="137" spans="1:17" x14ac:dyDescent="0.3">
      <c r="A137" t="s">
        <v>152</v>
      </c>
      <c r="B137" t="s">
        <v>276</v>
      </c>
      <c r="C137" t="s">
        <v>301</v>
      </c>
      <c r="D137" t="s">
        <v>456</v>
      </c>
      <c r="E137">
        <v>1</v>
      </c>
      <c r="F137">
        <v>1</v>
      </c>
      <c r="G137">
        <v>1656</v>
      </c>
      <c r="H137">
        <v>1973</v>
      </c>
      <c r="I137" s="2">
        <v>45015</v>
      </c>
      <c r="J137" t="s">
        <v>570</v>
      </c>
      <c r="K137" t="s">
        <v>573</v>
      </c>
      <c r="L137">
        <v>611928</v>
      </c>
      <c r="M137">
        <v>369.52</v>
      </c>
      <c r="N137">
        <v>30</v>
      </c>
      <c r="O137">
        <v>41.957000000000001</v>
      </c>
      <c r="P137">
        <v>-87.706999999999994</v>
      </c>
      <c r="Q137" t="s">
        <v>578</v>
      </c>
    </row>
    <row r="138" spans="1:17" x14ac:dyDescent="0.3">
      <c r="A138" t="s">
        <v>153</v>
      </c>
      <c r="B138" t="s">
        <v>273</v>
      </c>
      <c r="C138" t="s">
        <v>285</v>
      </c>
      <c r="D138" t="s">
        <v>457</v>
      </c>
      <c r="E138">
        <v>4</v>
      </c>
      <c r="F138">
        <v>3</v>
      </c>
      <c r="G138">
        <v>2430</v>
      </c>
      <c r="H138">
        <v>1909</v>
      </c>
      <c r="I138" s="2">
        <v>44399</v>
      </c>
      <c r="J138" t="s">
        <v>566</v>
      </c>
      <c r="K138" t="s">
        <v>571</v>
      </c>
      <c r="L138">
        <v>1643043</v>
      </c>
      <c r="M138">
        <v>676.15</v>
      </c>
      <c r="N138">
        <v>56</v>
      </c>
      <c r="O138">
        <v>45.555999999999997</v>
      </c>
      <c r="P138">
        <v>-122.711</v>
      </c>
      <c r="Q138" t="s">
        <v>577</v>
      </c>
    </row>
    <row r="139" spans="1:17" x14ac:dyDescent="0.3">
      <c r="A139" t="s">
        <v>154</v>
      </c>
      <c r="B139" t="s">
        <v>275</v>
      </c>
      <c r="C139" t="s">
        <v>295</v>
      </c>
      <c r="D139" t="s">
        <v>458</v>
      </c>
      <c r="E139">
        <v>4</v>
      </c>
      <c r="F139">
        <v>4</v>
      </c>
      <c r="G139">
        <v>2119</v>
      </c>
      <c r="H139">
        <v>2011</v>
      </c>
      <c r="I139" s="2">
        <v>43609</v>
      </c>
      <c r="J139" t="s">
        <v>570</v>
      </c>
      <c r="K139" t="s">
        <v>573</v>
      </c>
      <c r="L139">
        <v>998632</v>
      </c>
      <c r="M139">
        <v>471.28</v>
      </c>
      <c r="N139">
        <v>73</v>
      </c>
      <c r="O139">
        <v>30.202999999999999</v>
      </c>
      <c r="P139">
        <v>-97.775000000000006</v>
      </c>
      <c r="Q139" t="s">
        <v>579</v>
      </c>
    </row>
    <row r="140" spans="1:17" x14ac:dyDescent="0.3">
      <c r="A140" t="s">
        <v>155</v>
      </c>
      <c r="B140" t="s">
        <v>273</v>
      </c>
      <c r="C140" t="s">
        <v>286</v>
      </c>
      <c r="D140" t="s">
        <v>459</v>
      </c>
      <c r="E140">
        <v>1</v>
      </c>
      <c r="F140">
        <v>1</v>
      </c>
      <c r="G140">
        <v>1583</v>
      </c>
      <c r="H140">
        <v>1981</v>
      </c>
      <c r="I140" s="2">
        <v>44225</v>
      </c>
      <c r="J140" t="s">
        <v>567</v>
      </c>
      <c r="K140" t="s">
        <v>571</v>
      </c>
      <c r="L140">
        <v>775939</v>
      </c>
      <c r="M140">
        <v>490.17</v>
      </c>
      <c r="N140">
        <v>81</v>
      </c>
      <c r="O140">
        <v>45.542999999999999</v>
      </c>
      <c r="P140">
        <v>-122.761</v>
      </c>
      <c r="Q140" t="s">
        <v>579</v>
      </c>
    </row>
    <row r="141" spans="1:17" x14ac:dyDescent="0.3">
      <c r="A141" t="s">
        <v>156</v>
      </c>
      <c r="B141" t="s">
        <v>274</v>
      </c>
      <c r="C141" t="s">
        <v>320</v>
      </c>
      <c r="D141" t="s">
        <v>460</v>
      </c>
      <c r="E141">
        <v>2</v>
      </c>
      <c r="F141">
        <v>1</v>
      </c>
      <c r="G141">
        <v>1829</v>
      </c>
      <c r="H141">
        <v>1992</v>
      </c>
      <c r="J141" t="s">
        <v>570</v>
      </c>
      <c r="K141" t="s">
        <v>573</v>
      </c>
      <c r="L141">
        <v>1166441</v>
      </c>
      <c r="M141">
        <v>637.75</v>
      </c>
      <c r="N141">
        <v>37</v>
      </c>
      <c r="O141">
        <v>34.122999999999998</v>
      </c>
      <c r="P141">
        <v>-118.324</v>
      </c>
      <c r="Q141" t="s">
        <v>579</v>
      </c>
    </row>
    <row r="142" spans="1:17" x14ac:dyDescent="0.3">
      <c r="A142" t="s">
        <v>157</v>
      </c>
      <c r="B142" t="s">
        <v>271</v>
      </c>
      <c r="C142" t="s">
        <v>299</v>
      </c>
      <c r="D142" t="s">
        <v>461</v>
      </c>
      <c r="E142">
        <v>5</v>
      </c>
      <c r="F142">
        <v>5</v>
      </c>
      <c r="G142">
        <v>3215</v>
      </c>
      <c r="H142">
        <v>1981</v>
      </c>
      <c r="I142" s="2">
        <v>45140</v>
      </c>
      <c r="J142" t="s">
        <v>570</v>
      </c>
      <c r="K142" t="s">
        <v>571</v>
      </c>
      <c r="L142">
        <v>2232484</v>
      </c>
      <c r="M142">
        <v>694.4</v>
      </c>
      <c r="N142">
        <v>27</v>
      </c>
      <c r="O142">
        <v>42.451000000000001</v>
      </c>
      <c r="P142">
        <v>-71.063000000000002</v>
      </c>
      <c r="Q142" t="s">
        <v>579</v>
      </c>
    </row>
    <row r="143" spans="1:17" x14ac:dyDescent="0.3">
      <c r="A143" t="s">
        <v>158</v>
      </c>
      <c r="B143" t="s">
        <v>270</v>
      </c>
      <c r="C143" t="s">
        <v>314</v>
      </c>
      <c r="D143" t="s">
        <v>462</v>
      </c>
      <c r="E143">
        <v>1</v>
      </c>
      <c r="F143">
        <v>1</v>
      </c>
      <c r="G143">
        <v>1743</v>
      </c>
      <c r="H143">
        <v>1953</v>
      </c>
      <c r="I143" s="2">
        <v>45003</v>
      </c>
      <c r="J143" t="s">
        <v>567</v>
      </c>
      <c r="K143" t="s">
        <v>571</v>
      </c>
      <c r="L143">
        <v>911123</v>
      </c>
      <c r="M143">
        <v>522.73</v>
      </c>
      <c r="N143">
        <v>76</v>
      </c>
      <c r="O143">
        <v>40.639000000000003</v>
      </c>
      <c r="P143">
        <v>-73.938000000000002</v>
      </c>
      <c r="Q143" t="s">
        <v>576</v>
      </c>
    </row>
    <row r="144" spans="1:17" x14ac:dyDescent="0.3">
      <c r="A144" t="s">
        <v>159</v>
      </c>
      <c r="B144" t="s">
        <v>272</v>
      </c>
      <c r="C144" t="s">
        <v>298</v>
      </c>
      <c r="D144" t="s">
        <v>463</v>
      </c>
      <c r="E144">
        <v>3</v>
      </c>
      <c r="G144">
        <v>1859</v>
      </c>
      <c r="H144">
        <v>1913</v>
      </c>
      <c r="I144" s="2">
        <v>44091</v>
      </c>
      <c r="J144" t="s">
        <v>569</v>
      </c>
      <c r="K144" t="s">
        <v>573</v>
      </c>
      <c r="L144">
        <v>1110736</v>
      </c>
      <c r="M144">
        <v>597.49</v>
      </c>
      <c r="N144">
        <v>66</v>
      </c>
      <c r="O144">
        <v>25.75</v>
      </c>
      <c r="P144">
        <v>-80.262</v>
      </c>
    </row>
    <row r="145" spans="1:17" x14ac:dyDescent="0.3">
      <c r="A145" t="s">
        <v>160</v>
      </c>
      <c r="B145" t="s">
        <v>274</v>
      </c>
      <c r="C145" t="s">
        <v>292</v>
      </c>
      <c r="D145" t="s">
        <v>464</v>
      </c>
      <c r="E145">
        <v>2</v>
      </c>
      <c r="F145">
        <v>1</v>
      </c>
      <c r="G145">
        <v>1360</v>
      </c>
      <c r="H145">
        <v>2015</v>
      </c>
      <c r="I145" s="2">
        <v>44442</v>
      </c>
      <c r="J145" t="s">
        <v>570</v>
      </c>
      <c r="K145" t="s">
        <v>572</v>
      </c>
      <c r="M145">
        <v>525.99</v>
      </c>
      <c r="N145">
        <v>26</v>
      </c>
      <c r="O145">
        <v>33.988</v>
      </c>
      <c r="P145">
        <v>-118.30800000000001</v>
      </c>
      <c r="Q145" t="s">
        <v>577</v>
      </c>
    </row>
    <row r="146" spans="1:17" x14ac:dyDescent="0.3">
      <c r="A146" t="s">
        <v>161</v>
      </c>
      <c r="B146" t="s">
        <v>271</v>
      </c>
      <c r="C146" t="s">
        <v>290</v>
      </c>
      <c r="D146" t="s">
        <v>465</v>
      </c>
      <c r="E146">
        <v>1</v>
      </c>
      <c r="F146">
        <v>1</v>
      </c>
      <c r="G146">
        <v>1433</v>
      </c>
      <c r="H146">
        <v>1950</v>
      </c>
      <c r="I146" s="2">
        <v>44973</v>
      </c>
      <c r="J146" t="s">
        <v>567</v>
      </c>
      <c r="K146" t="s">
        <v>573</v>
      </c>
      <c r="L146">
        <v>670871</v>
      </c>
      <c r="M146">
        <v>468.16</v>
      </c>
      <c r="N146">
        <v>80</v>
      </c>
      <c r="O146">
        <v>42.331000000000003</v>
      </c>
      <c r="P146">
        <v>-71.150000000000006</v>
      </c>
      <c r="Q146" t="s">
        <v>578</v>
      </c>
    </row>
    <row r="147" spans="1:17" x14ac:dyDescent="0.3">
      <c r="A147" t="s">
        <v>162</v>
      </c>
      <c r="B147" t="s">
        <v>271</v>
      </c>
      <c r="C147" t="s">
        <v>287</v>
      </c>
      <c r="D147" t="s">
        <v>466</v>
      </c>
      <c r="E147">
        <v>1</v>
      </c>
      <c r="F147">
        <v>1</v>
      </c>
      <c r="G147">
        <v>1519</v>
      </c>
      <c r="H147">
        <v>1955</v>
      </c>
      <c r="I147" s="2">
        <v>44184</v>
      </c>
      <c r="J147" t="s">
        <v>568</v>
      </c>
      <c r="K147" t="s">
        <v>572</v>
      </c>
      <c r="L147">
        <v>740682</v>
      </c>
      <c r="M147">
        <v>487.61</v>
      </c>
      <c r="N147">
        <v>6</v>
      </c>
      <c r="O147">
        <v>42.332999999999998</v>
      </c>
      <c r="P147">
        <v>-71.08</v>
      </c>
      <c r="Q147" t="s">
        <v>577</v>
      </c>
    </row>
    <row r="148" spans="1:17" x14ac:dyDescent="0.3">
      <c r="A148" t="s">
        <v>163</v>
      </c>
      <c r="B148" t="s">
        <v>269</v>
      </c>
      <c r="C148" t="s">
        <v>322</v>
      </c>
      <c r="D148" t="s">
        <v>467</v>
      </c>
      <c r="E148">
        <v>3</v>
      </c>
      <c r="F148">
        <v>3</v>
      </c>
      <c r="G148">
        <v>1674</v>
      </c>
      <c r="H148">
        <v>1964</v>
      </c>
      <c r="I148" s="2">
        <v>45353</v>
      </c>
      <c r="J148" t="s">
        <v>568</v>
      </c>
      <c r="K148" t="s">
        <v>572</v>
      </c>
      <c r="L148">
        <v>926866</v>
      </c>
      <c r="M148">
        <v>553.67999999999995</v>
      </c>
      <c r="N148">
        <v>46</v>
      </c>
      <c r="O148">
        <v>39.765000000000001</v>
      </c>
      <c r="P148">
        <v>-104.968</v>
      </c>
      <c r="Q148" t="s">
        <v>575</v>
      </c>
    </row>
    <row r="149" spans="1:17" x14ac:dyDescent="0.3">
      <c r="A149" t="s">
        <v>164</v>
      </c>
      <c r="B149" t="s">
        <v>269</v>
      </c>
      <c r="C149" t="s">
        <v>280</v>
      </c>
      <c r="D149" t="s">
        <v>468</v>
      </c>
      <c r="E149">
        <v>5</v>
      </c>
      <c r="F149">
        <v>4</v>
      </c>
      <c r="G149">
        <v>2692</v>
      </c>
      <c r="H149">
        <v>1996</v>
      </c>
      <c r="I149" s="2">
        <v>43916</v>
      </c>
      <c r="J149" t="s">
        <v>570</v>
      </c>
      <c r="K149" t="s">
        <v>571</v>
      </c>
      <c r="L149">
        <v>1515818</v>
      </c>
      <c r="M149">
        <v>563.08000000000004</v>
      </c>
      <c r="N149">
        <v>32</v>
      </c>
      <c r="O149">
        <v>39.74</v>
      </c>
      <c r="P149">
        <v>-105.081</v>
      </c>
      <c r="Q149" t="s">
        <v>575</v>
      </c>
    </row>
    <row r="150" spans="1:17" x14ac:dyDescent="0.3">
      <c r="A150" t="s">
        <v>165</v>
      </c>
      <c r="B150" t="s">
        <v>270</v>
      </c>
      <c r="C150" t="s">
        <v>281</v>
      </c>
      <c r="D150" t="s">
        <v>469</v>
      </c>
      <c r="E150">
        <v>4</v>
      </c>
      <c r="F150">
        <v>4</v>
      </c>
      <c r="G150">
        <v>2074</v>
      </c>
      <c r="H150">
        <v>2014</v>
      </c>
      <c r="I150" s="2">
        <v>43673</v>
      </c>
      <c r="J150" t="s">
        <v>568</v>
      </c>
      <c r="K150" t="s">
        <v>572</v>
      </c>
      <c r="L150">
        <v>1397142</v>
      </c>
      <c r="M150">
        <v>673.65</v>
      </c>
      <c r="N150">
        <v>45</v>
      </c>
      <c r="O150">
        <v>40.673999999999999</v>
      </c>
      <c r="P150">
        <v>-74.031000000000006</v>
      </c>
      <c r="Q150" t="s">
        <v>577</v>
      </c>
    </row>
    <row r="151" spans="1:17" x14ac:dyDescent="0.3">
      <c r="A151" t="s">
        <v>166</v>
      </c>
      <c r="B151" t="s">
        <v>274</v>
      </c>
      <c r="C151" t="s">
        <v>312</v>
      </c>
      <c r="D151" t="s">
        <v>470</v>
      </c>
      <c r="E151">
        <v>5</v>
      </c>
      <c r="F151">
        <v>4</v>
      </c>
      <c r="G151">
        <v>2465</v>
      </c>
      <c r="H151">
        <v>1968</v>
      </c>
      <c r="I151" s="2">
        <v>45406</v>
      </c>
      <c r="J151" t="s">
        <v>568</v>
      </c>
      <c r="K151" t="s">
        <v>571</v>
      </c>
      <c r="L151">
        <v>1759787</v>
      </c>
      <c r="M151">
        <v>713.91</v>
      </c>
      <c r="N151">
        <v>3</v>
      </c>
      <c r="O151">
        <v>33.953000000000003</v>
      </c>
      <c r="P151">
        <v>-118.274</v>
      </c>
    </row>
    <row r="152" spans="1:17" x14ac:dyDescent="0.3">
      <c r="A152" t="s">
        <v>167</v>
      </c>
      <c r="B152" t="s">
        <v>271</v>
      </c>
      <c r="C152" t="s">
        <v>283</v>
      </c>
      <c r="D152" t="s">
        <v>471</v>
      </c>
      <c r="E152">
        <v>5</v>
      </c>
      <c r="F152">
        <v>5</v>
      </c>
      <c r="G152">
        <v>2684</v>
      </c>
      <c r="H152">
        <v>1983</v>
      </c>
      <c r="I152" s="2">
        <v>45466</v>
      </c>
      <c r="J152" t="s">
        <v>567</v>
      </c>
      <c r="K152" t="s">
        <v>572</v>
      </c>
      <c r="L152">
        <v>1810822</v>
      </c>
      <c r="M152">
        <v>674.67</v>
      </c>
      <c r="N152">
        <v>5</v>
      </c>
      <c r="O152">
        <v>42.377000000000002</v>
      </c>
      <c r="P152">
        <v>-71.126000000000005</v>
      </c>
      <c r="Q152" t="s">
        <v>579</v>
      </c>
    </row>
    <row r="153" spans="1:17" x14ac:dyDescent="0.3">
      <c r="A153" t="s">
        <v>168</v>
      </c>
      <c r="B153" t="s">
        <v>272</v>
      </c>
      <c r="C153" t="s">
        <v>298</v>
      </c>
      <c r="D153" t="s">
        <v>472</v>
      </c>
      <c r="E153">
        <v>2</v>
      </c>
      <c r="F153">
        <v>2</v>
      </c>
      <c r="G153">
        <v>1926</v>
      </c>
      <c r="H153">
        <v>1989</v>
      </c>
      <c r="I153" s="2">
        <v>43882</v>
      </c>
      <c r="J153" t="s">
        <v>566</v>
      </c>
      <c r="K153" t="s">
        <v>571</v>
      </c>
      <c r="L153">
        <v>948276</v>
      </c>
      <c r="M153">
        <v>492.36</v>
      </c>
      <c r="N153">
        <v>11</v>
      </c>
      <c r="O153">
        <v>25.744</v>
      </c>
      <c r="P153">
        <v>-80.206999999999994</v>
      </c>
      <c r="Q153" t="s">
        <v>575</v>
      </c>
    </row>
    <row r="154" spans="1:17" x14ac:dyDescent="0.3">
      <c r="A154" t="s">
        <v>169</v>
      </c>
      <c r="B154" t="s">
        <v>274</v>
      </c>
      <c r="C154" t="s">
        <v>292</v>
      </c>
      <c r="D154" t="s">
        <v>473</v>
      </c>
      <c r="E154">
        <v>1</v>
      </c>
      <c r="F154">
        <v>1</v>
      </c>
      <c r="G154">
        <v>1473</v>
      </c>
      <c r="H154">
        <v>1966</v>
      </c>
      <c r="I154" s="2">
        <v>45398</v>
      </c>
      <c r="J154" t="s">
        <v>568</v>
      </c>
      <c r="K154" t="s">
        <v>574</v>
      </c>
      <c r="L154">
        <v>713885</v>
      </c>
      <c r="M154">
        <v>484.65</v>
      </c>
      <c r="N154">
        <v>18</v>
      </c>
      <c r="O154">
        <v>34.045999999999999</v>
      </c>
      <c r="P154">
        <v>-118.265</v>
      </c>
      <c r="Q154" t="s">
        <v>575</v>
      </c>
    </row>
    <row r="155" spans="1:17" x14ac:dyDescent="0.3">
      <c r="A155" t="s">
        <v>170</v>
      </c>
      <c r="B155" t="s">
        <v>269</v>
      </c>
      <c r="C155" t="s">
        <v>322</v>
      </c>
      <c r="D155" t="s">
        <v>474</v>
      </c>
      <c r="E155">
        <v>3</v>
      </c>
      <c r="F155">
        <v>2</v>
      </c>
      <c r="G155">
        <v>1801</v>
      </c>
      <c r="H155">
        <v>2011</v>
      </c>
      <c r="I155" s="2">
        <v>45599</v>
      </c>
      <c r="J155" t="s">
        <v>569</v>
      </c>
      <c r="K155" t="s">
        <v>573</v>
      </c>
      <c r="L155">
        <v>1130154</v>
      </c>
      <c r="M155">
        <v>627.51</v>
      </c>
      <c r="N155">
        <v>36</v>
      </c>
      <c r="O155">
        <v>39.689</v>
      </c>
      <c r="P155">
        <v>-104.97799999999999</v>
      </c>
      <c r="Q155" t="s">
        <v>575</v>
      </c>
    </row>
    <row r="156" spans="1:17" x14ac:dyDescent="0.3">
      <c r="A156" t="s">
        <v>171</v>
      </c>
      <c r="B156" t="s">
        <v>276</v>
      </c>
      <c r="C156" t="s">
        <v>301</v>
      </c>
      <c r="D156" t="s">
        <v>475</v>
      </c>
      <c r="E156">
        <v>3</v>
      </c>
      <c r="F156">
        <v>3</v>
      </c>
      <c r="G156">
        <v>1925</v>
      </c>
      <c r="H156">
        <v>1971</v>
      </c>
      <c r="I156" s="2">
        <v>44279</v>
      </c>
      <c r="J156" t="s">
        <v>566</v>
      </c>
      <c r="K156" t="s">
        <v>571</v>
      </c>
      <c r="L156">
        <v>996996</v>
      </c>
      <c r="M156">
        <v>517.91999999999996</v>
      </c>
      <c r="N156">
        <v>31</v>
      </c>
      <c r="O156">
        <v>41.889000000000003</v>
      </c>
      <c r="P156">
        <v>-87.540999999999997</v>
      </c>
      <c r="Q156" t="s">
        <v>578</v>
      </c>
    </row>
    <row r="157" spans="1:17" x14ac:dyDescent="0.3">
      <c r="A157" t="s">
        <v>172</v>
      </c>
      <c r="B157" t="s">
        <v>275</v>
      </c>
      <c r="C157" t="s">
        <v>308</v>
      </c>
      <c r="D157" t="s">
        <v>476</v>
      </c>
      <c r="E157">
        <v>1</v>
      </c>
      <c r="F157">
        <v>1</v>
      </c>
      <c r="G157">
        <v>1445</v>
      </c>
      <c r="H157">
        <v>1991</v>
      </c>
      <c r="I157" s="2">
        <v>44519</v>
      </c>
      <c r="J157" t="s">
        <v>569</v>
      </c>
      <c r="K157" t="s">
        <v>571</v>
      </c>
      <c r="L157">
        <v>584854</v>
      </c>
      <c r="M157">
        <v>404.74</v>
      </c>
      <c r="N157">
        <v>57</v>
      </c>
      <c r="O157">
        <v>30.318999999999999</v>
      </c>
      <c r="P157">
        <v>-97.796999999999997</v>
      </c>
      <c r="Q157" t="s">
        <v>577</v>
      </c>
    </row>
    <row r="158" spans="1:17" x14ac:dyDescent="0.3">
      <c r="A158" t="s">
        <v>173</v>
      </c>
      <c r="B158" t="s">
        <v>271</v>
      </c>
      <c r="C158" t="s">
        <v>299</v>
      </c>
      <c r="D158" t="s">
        <v>477</v>
      </c>
      <c r="E158">
        <v>1</v>
      </c>
      <c r="F158">
        <v>1</v>
      </c>
      <c r="G158">
        <v>1367</v>
      </c>
      <c r="H158">
        <v>1975</v>
      </c>
      <c r="I158" s="2">
        <v>44094</v>
      </c>
      <c r="J158" t="s">
        <v>566</v>
      </c>
      <c r="K158" t="s">
        <v>571</v>
      </c>
      <c r="L158">
        <v>552050</v>
      </c>
      <c r="M158">
        <v>403.84</v>
      </c>
      <c r="N158">
        <v>26</v>
      </c>
      <c r="O158">
        <v>42.366</v>
      </c>
      <c r="P158">
        <v>-71.031999999999996</v>
      </c>
    </row>
    <row r="159" spans="1:17" x14ac:dyDescent="0.3">
      <c r="A159" t="s">
        <v>174</v>
      </c>
      <c r="B159" t="s">
        <v>269</v>
      </c>
      <c r="C159" t="s">
        <v>288</v>
      </c>
      <c r="D159" t="s">
        <v>478</v>
      </c>
      <c r="E159">
        <v>1</v>
      </c>
      <c r="F159">
        <v>1</v>
      </c>
      <c r="G159">
        <v>925</v>
      </c>
      <c r="H159">
        <v>1917</v>
      </c>
      <c r="I159" s="2">
        <v>45355</v>
      </c>
      <c r="J159" t="s">
        <v>567</v>
      </c>
      <c r="K159" t="s">
        <v>571</v>
      </c>
      <c r="L159">
        <v>340164</v>
      </c>
      <c r="M159">
        <v>367.74</v>
      </c>
      <c r="N159">
        <v>76</v>
      </c>
      <c r="O159">
        <v>39.826999999999998</v>
      </c>
      <c r="P159">
        <v>-104.914</v>
      </c>
      <c r="Q159" t="s">
        <v>578</v>
      </c>
    </row>
    <row r="160" spans="1:17" x14ac:dyDescent="0.3">
      <c r="A160" t="s">
        <v>175</v>
      </c>
      <c r="B160" t="s">
        <v>271</v>
      </c>
      <c r="C160" t="s">
        <v>313</v>
      </c>
      <c r="D160" t="s">
        <v>479</v>
      </c>
      <c r="E160">
        <v>3</v>
      </c>
      <c r="F160">
        <v>2</v>
      </c>
      <c r="G160">
        <v>2511</v>
      </c>
      <c r="H160">
        <v>2016</v>
      </c>
      <c r="I160" s="2">
        <v>45452</v>
      </c>
      <c r="J160" t="s">
        <v>567</v>
      </c>
      <c r="K160" t="s">
        <v>571</v>
      </c>
      <c r="L160">
        <v>1291582</v>
      </c>
      <c r="M160">
        <v>514.37</v>
      </c>
      <c r="N160">
        <v>52</v>
      </c>
      <c r="O160">
        <v>42.405000000000001</v>
      </c>
      <c r="P160">
        <v>-70.972999999999999</v>
      </c>
      <c r="Q160" t="s">
        <v>575</v>
      </c>
    </row>
    <row r="161" spans="1:17" x14ac:dyDescent="0.3">
      <c r="A161" t="s">
        <v>176</v>
      </c>
      <c r="B161" t="s">
        <v>268</v>
      </c>
      <c r="C161" t="s">
        <v>303</v>
      </c>
      <c r="D161" t="s">
        <v>480</v>
      </c>
      <c r="E161">
        <v>4</v>
      </c>
      <c r="F161">
        <v>4</v>
      </c>
      <c r="G161">
        <v>2478</v>
      </c>
      <c r="H161">
        <v>1995</v>
      </c>
      <c r="I161" s="2">
        <v>43254</v>
      </c>
      <c r="J161" t="s">
        <v>566</v>
      </c>
      <c r="K161" t="s">
        <v>571</v>
      </c>
      <c r="L161">
        <v>1542764</v>
      </c>
      <c r="M161">
        <v>622.58000000000004</v>
      </c>
      <c r="N161">
        <v>68</v>
      </c>
      <c r="O161">
        <v>47.621000000000002</v>
      </c>
      <c r="P161">
        <v>-122.244</v>
      </c>
      <c r="Q161" t="s">
        <v>576</v>
      </c>
    </row>
    <row r="162" spans="1:17" x14ac:dyDescent="0.3">
      <c r="A162" t="s">
        <v>177</v>
      </c>
      <c r="B162" t="s">
        <v>273</v>
      </c>
      <c r="C162" t="s">
        <v>315</v>
      </c>
      <c r="D162" t="s">
        <v>481</v>
      </c>
      <c r="E162">
        <v>4</v>
      </c>
      <c r="F162">
        <v>3</v>
      </c>
      <c r="G162">
        <v>2368</v>
      </c>
      <c r="H162">
        <v>1917</v>
      </c>
      <c r="I162" s="2">
        <v>45018</v>
      </c>
      <c r="J162" t="s">
        <v>568</v>
      </c>
      <c r="K162" t="s">
        <v>573</v>
      </c>
      <c r="L162">
        <v>1485940</v>
      </c>
      <c r="M162">
        <v>627.51</v>
      </c>
      <c r="N162">
        <v>13</v>
      </c>
      <c r="O162">
        <v>45.442999999999998</v>
      </c>
      <c r="P162">
        <v>-122.748</v>
      </c>
      <c r="Q162" t="s">
        <v>578</v>
      </c>
    </row>
    <row r="163" spans="1:17" x14ac:dyDescent="0.3">
      <c r="A163" t="s">
        <v>178</v>
      </c>
      <c r="B163" t="s">
        <v>275</v>
      </c>
      <c r="C163" t="s">
        <v>296</v>
      </c>
      <c r="D163" t="s">
        <v>482</v>
      </c>
      <c r="E163">
        <v>3</v>
      </c>
      <c r="F163">
        <v>2</v>
      </c>
      <c r="G163">
        <v>2151</v>
      </c>
      <c r="H163">
        <v>1972</v>
      </c>
      <c r="I163" s="2">
        <v>43819</v>
      </c>
      <c r="J163" t="s">
        <v>570</v>
      </c>
      <c r="K163" t="s">
        <v>572</v>
      </c>
      <c r="L163">
        <v>982119</v>
      </c>
      <c r="M163">
        <v>456.59</v>
      </c>
      <c r="N163">
        <v>7</v>
      </c>
      <c r="O163">
        <v>30.349</v>
      </c>
      <c r="P163">
        <v>-97.674999999999997</v>
      </c>
      <c r="Q163" t="s">
        <v>577</v>
      </c>
    </row>
    <row r="164" spans="1:17" x14ac:dyDescent="0.3">
      <c r="A164" t="s">
        <v>179</v>
      </c>
      <c r="B164" t="s">
        <v>272</v>
      </c>
      <c r="D164" t="s">
        <v>483</v>
      </c>
      <c r="E164">
        <v>2</v>
      </c>
      <c r="F164">
        <v>1</v>
      </c>
      <c r="G164">
        <v>1638</v>
      </c>
      <c r="H164">
        <v>1961</v>
      </c>
      <c r="I164" s="2">
        <v>44117</v>
      </c>
      <c r="J164" t="s">
        <v>566</v>
      </c>
      <c r="K164" t="s">
        <v>571</v>
      </c>
      <c r="L164">
        <v>782533</v>
      </c>
      <c r="M164">
        <v>477.74</v>
      </c>
      <c r="N164">
        <v>85</v>
      </c>
      <c r="O164">
        <v>25.707000000000001</v>
      </c>
      <c r="P164">
        <v>-80.138999999999996</v>
      </c>
      <c r="Q164" t="s">
        <v>576</v>
      </c>
    </row>
    <row r="165" spans="1:17" x14ac:dyDescent="0.3">
      <c r="A165" t="s">
        <v>180</v>
      </c>
      <c r="B165" t="s">
        <v>274</v>
      </c>
      <c r="C165" t="s">
        <v>297</v>
      </c>
      <c r="D165" t="s">
        <v>484</v>
      </c>
      <c r="E165">
        <v>3</v>
      </c>
      <c r="F165">
        <v>2</v>
      </c>
      <c r="G165">
        <v>2320</v>
      </c>
      <c r="H165">
        <v>1988</v>
      </c>
      <c r="I165" s="2">
        <v>43355</v>
      </c>
      <c r="J165" t="s">
        <v>566</v>
      </c>
      <c r="K165" t="s">
        <v>571</v>
      </c>
      <c r="L165">
        <v>1457086</v>
      </c>
      <c r="M165">
        <v>628.04999999999995</v>
      </c>
      <c r="N165">
        <v>79</v>
      </c>
      <c r="O165">
        <v>33.981999999999999</v>
      </c>
      <c r="P165">
        <v>-118.203</v>
      </c>
      <c r="Q165" t="s">
        <v>579</v>
      </c>
    </row>
    <row r="166" spans="1:17" x14ac:dyDescent="0.3">
      <c r="A166" t="s">
        <v>181</v>
      </c>
      <c r="B166" t="s">
        <v>267</v>
      </c>
      <c r="C166" t="s">
        <v>285</v>
      </c>
      <c r="D166" t="s">
        <v>485</v>
      </c>
      <c r="E166">
        <v>3</v>
      </c>
      <c r="F166">
        <v>2</v>
      </c>
      <c r="G166">
        <v>2119</v>
      </c>
      <c r="H166">
        <v>1928</v>
      </c>
      <c r="I166" s="2">
        <v>45059</v>
      </c>
      <c r="J166" t="s">
        <v>567</v>
      </c>
      <c r="K166" t="s">
        <v>571</v>
      </c>
      <c r="L166">
        <v>912637</v>
      </c>
      <c r="M166">
        <v>430.69</v>
      </c>
      <c r="N166">
        <v>80</v>
      </c>
      <c r="O166">
        <v>37.868000000000002</v>
      </c>
      <c r="P166">
        <v>-122.355</v>
      </c>
      <c r="Q166" t="s">
        <v>579</v>
      </c>
    </row>
    <row r="167" spans="1:17" x14ac:dyDescent="0.3">
      <c r="A167" t="s">
        <v>182</v>
      </c>
      <c r="B167" t="s">
        <v>273</v>
      </c>
      <c r="C167" t="s">
        <v>289</v>
      </c>
      <c r="D167" t="s">
        <v>486</v>
      </c>
      <c r="E167">
        <v>2</v>
      </c>
      <c r="F167">
        <v>1</v>
      </c>
      <c r="G167">
        <v>1935</v>
      </c>
      <c r="H167">
        <v>1976</v>
      </c>
      <c r="I167" s="2">
        <v>45253</v>
      </c>
      <c r="J167" t="s">
        <v>569</v>
      </c>
      <c r="K167" t="s">
        <v>571</v>
      </c>
      <c r="L167">
        <v>989630</v>
      </c>
      <c r="M167">
        <v>511.44</v>
      </c>
      <c r="N167">
        <v>29</v>
      </c>
      <c r="O167">
        <v>45.491999999999997</v>
      </c>
      <c r="P167">
        <v>-122.59699999999999</v>
      </c>
    </row>
    <row r="168" spans="1:17" x14ac:dyDescent="0.3">
      <c r="A168" t="s">
        <v>183</v>
      </c>
      <c r="B168" t="s">
        <v>273</v>
      </c>
      <c r="C168" t="s">
        <v>289</v>
      </c>
      <c r="D168" t="s">
        <v>487</v>
      </c>
      <c r="E168">
        <v>5</v>
      </c>
      <c r="F168">
        <v>5</v>
      </c>
      <c r="G168">
        <v>2481</v>
      </c>
      <c r="H168">
        <v>1921</v>
      </c>
      <c r="I168" s="2">
        <v>45232</v>
      </c>
      <c r="J168" t="s">
        <v>569</v>
      </c>
      <c r="K168" t="s">
        <v>573</v>
      </c>
      <c r="L168">
        <v>1626558</v>
      </c>
      <c r="M168">
        <v>655.61</v>
      </c>
      <c r="N168">
        <v>62</v>
      </c>
      <c r="O168">
        <v>45.460999999999999</v>
      </c>
      <c r="P168">
        <v>-122.663</v>
      </c>
    </row>
    <row r="169" spans="1:17" x14ac:dyDescent="0.3">
      <c r="A169" t="s">
        <v>184</v>
      </c>
      <c r="B169" t="s">
        <v>268</v>
      </c>
      <c r="C169" t="s">
        <v>303</v>
      </c>
      <c r="D169" t="s">
        <v>488</v>
      </c>
      <c r="E169">
        <v>2</v>
      </c>
      <c r="F169">
        <v>2</v>
      </c>
      <c r="G169">
        <v>2277</v>
      </c>
      <c r="H169">
        <v>1958</v>
      </c>
      <c r="I169" s="2">
        <v>43337</v>
      </c>
      <c r="J169" t="s">
        <v>570</v>
      </c>
      <c r="K169" t="s">
        <v>571</v>
      </c>
      <c r="L169">
        <v>800244</v>
      </c>
      <c r="M169">
        <v>351.45</v>
      </c>
      <c r="N169">
        <v>51</v>
      </c>
      <c r="O169">
        <v>47.661000000000001</v>
      </c>
      <c r="P169">
        <v>-122.285</v>
      </c>
      <c r="Q169" t="s">
        <v>578</v>
      </c>
    </row>
    <row r="170" spans="1:17" x14ac:dyDescent="0.3">
      <c r="A170" t="s">
        <v>185</v>
      </c>
      <c r="B170" t="s">
        <v>276</v>
      </c>
      <c r="C170" t="s">
        <v>318</v>
      </c>
      <c r="D170" t="s">
        <v>489</v>
      </c>
      <c r="E170">
        <v>1</v>
      </c>
      <c r="F170">
        <v>1</v>
      </c>
      <c r="G170">
        <v>1337</v>
      </c>
      <c r="H170">
        <v>1944</v>
      </c>
      <c r="I170" s="2">
        <v>45317</v>
      </c>
      <c r="J170" t="s">
        <v>566</v>
      </c>
      <c r="K170" t="s">
        <v>572</v>
      </c>
      <c r="L170">
        <v>506945</v>
      </c>
      <c r="M170">
        <v>379.17</v>
      </c>
      <c r="N170">
        <v>17</v>
      </c>
      <c r="O170">
        <v>41.793999999999997</v>
      </c>
      <c r="P170">
        <v>-87.533000000000001</v>
      </c>
    </row>
    <row r="171" spans="1:17" x14ac:dyDescent="0.3">
      <c r="A171" t="s">
        <v>186</v>
      </c>
      <c r="B171" t="s">
        <v>277</v>
      </c>
      <c r="C171" t="s">
        <v>295</v>
      </c>
      <c r="D171" t="s">
        <v>490</v>
      </c>
      <c r="E171">
        <v>4</v>
      </c>
      <c r="F171">
        <v>4</v>
      </c>
      <c r="G171">
        <v>2184</v>
      </c>
      <c r="H171">
        <v>2014</v>
      </c>
      <c r="I171" s="2">
        <v>44938</v>
      </c>
      <c r="J171" t="s">
        <v>569</v>
      </c>
      <c r="K171" t="s">
        <v>571</v>
      </c>
      <c r="L171">
        <v>1188794</v>
      </c>
      <c r="M171">
        <v>544.32000000000005</v>
      </c>
      <c r="N171">
        <v>10</v>
      </c>
      <c r="O171">
        <v>30.306999999999999</v>
      </c>
      <c r="P171">
        <v>-97.707999999999998</v>
      </c>
      <c r="Q171" t="s">
        <v>577</v>
      </c>
    </row>
    <row r="172" spans="1:17" x14ac:dyDescent="0.3">
      <c r="A172" t="s">
        <v>187</v>
      </c>
      <c r="B172" t="s">
        <v>267</v>
      </c>
      <c r="C172" t="s">
        <v>311</v>
      </c>
      <c r="D172" t="s">
        <v>491</v>
      </c>
      <c r="E172">
        <v>5</v>
      </c>
      <c r="F172">
        <v>5</v>
      </c>
      <c r="G172">
        <v>2768</v>
      </c>
      <c r="H172">
        <v>1916</v>
      </c>
      <c r="I172" s="2">
        <v>43115</v>
      </c>
      <c r="J172" t="s">
        <v>566</v>
      </c>
      <c r="K172" t="s">
        <v>574</v>
      </c>
      <c r="L172">
        <v>1566818</v>
      </c>
      <c r="M172">
        <v>566.04999999999995</v>
      </c>
      <c r="N172">
        <v>27</v>
      </c>
      <c r="O172">
        <v>37.762999999999998</v>
      </c>
      <c r="P172">
        <v>-122.286</v>
      </c>
      <c r="Q172" t="s">
        <v>578</v>
      </c>
    </row>
    <row r="173" spans="1:17" x14ac:dyDescent="0.3">
      <c r="A173" t="s">
        <v>188</v>
      </c>
      <c r="B173" t="s">
        <v>276</v>
      </c>
      <c r="C173" t="s">
        <v>305</v>
      </c>
      <c r="D173" t="s">
        <v>492</v>
      </c>
      <c r="E173">
        <v>4</v>
      </c>
      <c r="F173">
        <v>4</v>
      </c>
      <c r="G173">
        <v>2173</v>
      </c>
      <c r="H173">
        <v>1935</v>
      </c>
      <c r="I173" s="2">
        <v>43563</v>
      </c>
      <c r="J173" t="s">
        <v>566</v>
      </c>
      <c r="K173" t="s">
        <v>572</v>
      </c>
      <c r="L173">
        <v>1159253</v>
      </c>
      <c r="M173">
        <v>533.48</v>
      </c>
      <c r="N173">
        <v>57</v>
      </c>
      <c r="O173">
        <v>41.863999999999997</v>
      </c>
      <c r="P173">
        <v>-87.566999999999993</v>
      </c>
    </row>
    <row r="174" spans="1:17" x14ac:dyDescent="0.3">
      <c r="A174" t="s">
        <v>189</v>
      </c>
      <c r="B174" t="s">
        <v>267</v>
      </c>
      <c r="C174" t="s">
        <v>278</v>
      </c>
      <c r="D174" t="s">
        <v>493</v>
      </c>
      <c r="E174">
        <v>5</v>
      </c>
      <c r="F174">
        <v>5</v>
      </c>
      <c r="G174">
        <v>2825</v>
      </c>
      <c r="H174">
        <v>1976</v>
      </c>
      <c r="I174" s="2">
        <v>44103</v>
      </c>
      <c r="J174" t="s">
        <v>566</v>
      </c>
      <c r="K174" t="s">
        <v>571</v>
      </c>
      <c r="L174">
        <v>1483265</v>
      </c>
      <c r="M174">
        <v>525.04999999999995</v>
      </c>
      <c r="N174">
        <v>37</v>
      </c>
      <c r="O174">
        <v>37.716999999999999</v>
      </c>
      <c r="P174">
        <v>-122.387</v>
      </c>
    </row>
    <row r="175" spans="1:17" x14ac:dyDescent="0.3">
      <c r="A175" t="s">
        <v>190</v>
      </c>
      <c r="B175" t="s">
        <v>271</v>
      </c>
      <c r="C175" t="s">
        <v>299</v>
      </c>
      <c r="D175" t="s">
        <v>494</v>
      </c>
      <c r="E175">
        <v>5</v>
      </c>
      <c r="F175">
        <v>5</v>
      </c>
      <c r="G175">
        <v>2888</v>
      </c>
      <c r="H175">
        <v>1976</v>
      </c>
      <c r="I175" s="2">
        <v>44071</v>
      </c>
      <c r="J175" t="s">
        <v>568</v>
      </c>
      <c r="K175" t="s">
        <v>572</v>
      </c>
      <c r="L175">
        <v>1626959</v>
      </c>
      <c r="M175">
        <v>563.35</v>
      </c>
      <c r="N175">
        <v>51</v>
      </c>
      <c r="O175">
        <v>42.457000000000001</v>
      </c>
      <c r="P175">
        <v>-71.055999999999997</v>
      </c>
      <c r="Q175" t="s">
        <v>578</v>
      </c>
    </row>
    <row r="176" spans="1:17" x14ac:dyDescent="0.3">
      <c r="A176" t="s">
        <v>191</v>
      </c>
      <c r="B176" t="s">
        <v>268</v>
      </c>
      <c r="C176" t="s">
        <v>279</v>
      </c>
      <c r="D176" t="s">
        <v>495</v>
      </c>
      <c r="E176">
        <v>5</v>
      </c>
      <c r="F176">
        <v>4</v>
      </c>
      <c r="G176">
        <v>2534</v>
      </c>
      <c r="H176">
        <v>2016</v>
      </c>
      <c r="I176" s="2">
        <v>44850</v>
      </c>
      <c r="J176" t="s">
        <v>570</v>
      </c>
      <c r="K176" t="s">
        <v>571</v>
      </c>
      <c r="L176">
        <v>1443459</v>
      </c>
      <c r="M176">
        <v>569.64</v>
      </c>
      <c r="N176">
        <v>12</v>
      </c>
      <c r="O176">
        <v>47.694000000000003</v>
      </c>
      <c r="P176">
        <v>-122.242</v>
      </c>
      <c r="Q176" t="s">
        <v>579</v>
      </c>
    </row>
    <row r="177" spans="1:17" x14ac:dyDescent="0.3">
      <c r="A177" t="s">
        <v>192</v>
      </c>
      <c r="B177" t="s">
        <v>269</v>
      </c>
      <c r="C177" t="s">
        <v>288</v>
      </c>
      <c r="D177" t="s">
        <v>496</v>
      </c>
      <c r="E177">
        <v>4</v>
      </c>
      <c r="F177">
        <v>4</v>
      </c>
      <c r="G177">
        <v>1949</v>
      </c>
      <c r="H177">
        <v>1948</v>
      </c>
      <c r="I177" s="2">
        <v>45304</v>
      </c>
      <c r="J177" t="s">
        <v>569</v>
      </c>
      <c r="K177" t="s">
        <v>573</v>
      </c>
      <c r="L177">
        <v>1034765</v>
      </c>
      <c r="M177">
        <v>530.91999999999996</v>
      </c>
      <c r="N177">
        <v>36</v>
      </c>
      <c r="O177">
        <v>39.685000000000002</v>
      </c>
      <c r="P177">
        <v>-104.91800000000001</v>
      </c>
      <c r="Q177" t="s">
        <v>575</v>
      </c>
    </row>
    <row r="178" spans="1:17" x14ac:dyDescent="0.3">
      <c r="A178" t="s">
        <v>193</v>
      </c>
      <c r="B178" t="s">
        <v>268</v>
      </c>
      <c r="C178" t="s">
        <v>279</v>
      </c>
      <c r="D178" t="s">
        <v>497</v>
      </c>
      <c r="E178">
        <v>4</v>
      </c>
      <c r="F178">
        <v>3</v>
      </c>
      <c r="G178">
        <v>2465</v>
      </c>
      <c r="H178">
        <v>1971</v>
      </c>
      <c r="I178" s="2">
        <v>43650</v>
      </c>
      <c r="J178" t="s">
        <v>569</v>
      </c>
      <c r="K178" t="s">
        <v>573</v>
      </c>
      <c r="L178">
        <v>1158493</v>
      </c>
      <c r="M178">
        <v>469.98</v>
      </c>
      <c r="N178">
        <v>54</v>
      </c>
      <c r="O178">
        <v>47.540999999999997</v>
      </c>
      <c r="P178">
        <v>-122.301</v>
      </c>
      <c r="Q178" t="s">
        <v>578</v>
      </c>
    </row>
    <row r="179" spans="1:17" x14ac:dyDescent="0.3">
      <c r="A179" t="s">
        <v>194</v>
      </c>
      <c r="B179" t="s">
        <v>267</v>
      </c>
      <c r="C179" t="s">
        <v>286</v>
      </c>
      <c r="D179" t="s">
        <v>498</v>
      </c>
      <c r="E179">
        <v>2</v>
      </c>
      <c r="F179">
        <v>2</v>
      </c>
      <c r="G179">
        <v>1385</v>
      </c>
      <c r="H179">
        <v>1948</v>
      </c>
      <c r="I179" s="2">
        <v>45570</v>
      </c>
      <c r="J179" t="s">
        <v>566</v>
      </c>
      <c r="K179" t="s">
        <v>572</v>
      </c>
      <c r="L179">
        <v>597192</v>
      </c>
      <c r="M179">
        <v>431.19</v>
      </c>
      <c r="N179">
        <v>1</v>
      </c>
      <c r="O179">
        <v>37.707999999999998</v>
      </c>
      <c r="P179">
        <v>-122.27800000000001</v>
      </c>
      <c r="Q179" t="s">
        <v>579</v>
      </c>
    </row>
    <row r="180" spans="1:17" x14ac:dyDescent="0.3">
      <c r="A180" t="s">
        <v>195</v>
      </c>
      <c r="B180" t="s">
        <v>276</v>
      </c>
      <c r="C180" t="s">
        <v>301</v>
      </c>
      <c r="D180" t="s">
        <v>499</v>
      </c>
      <c r="E180">
        <v>2</v>
      </c>
      <c r="F180">
        <v>1</v>
      </c>
      <c r="G180">
        <v>1637</v>
      </c>
      <c r="H180">
        <v>1942</v>
      </c>
      <c r="I180" s="2">
        <v>43163</v>
      </c>
      <c r="J180" t="s">
        <v>567</v>
      </c>
      <c r="K180" t="s">
        <v>572</v>
      </c>
      <c r="L180">
        <v>756163</v>
      </c>
      <c r="M180">
        <v>461.92</v>
      </c>
      <c r="N180">
        <v>9</v>
      </c>
      <c r="O180">
        <v>41.972000000000001</v>
      </c>
      <c r="P180">
        <v>-87.697000000000003</v>
      </c>
      <c r="Q180" t="s">
        <v>578</v>
      </c>
    </row>
    <row r="181" spans="1:17" x14ac:dyDescent="0.3">
      <c r="A181" t="s">
        <v>196</v>
      </c>
      <c r="B181" t="s">
        <v>276</v>
      </c>
      <c r="C181" t="s">
        <v>301</v>
      </c>
      <c r="D181" t="s">
        <v>500</v>
      </c>
      <c r="E181">
        <v>2</v>
      </c>
      <c r="F181">
        <v>2</v>
      </c>
      <c r="G181">
        <v>1704</v>
      </c>
      <c r="H181">
        <v>1999</v>
      </c>
      <c r="I181" s="2">
        <v>44660</v>
      </c>
      <c r="J181" t="s">
        <v>569</v>
      </c>
      <c r="K181" t="s">
        <v>571</v>
      </c>
      <c r="L181">
        <v>850550</v>
      </c>
      <c r="M181">
        <v>499.15</v>
      </c>
      <c r="N181">
        <v>17</v>
      </c>
      <c r="O181">
        <v>41.851999999999997</v>
      </c>
      <c r="P181">
        <v>-87.668000000000006</v>
      </c>
      <c r="Q181" t="s">
        <v>577</v>
      </c>
    </row>
    <row r="182" spans="1:17" x14ac:dyDescent="0.3">
      <c r="A182" t="s">
        <v>197</v>
      </c>
      <c r="B182" t="s">
        <v>267</v>
      </c>
      <c r="C182" t="s">
        <v>293</v>
      </c>
      <c r="D182" t="s">
        <v>501</v>
      </c>
      <c r="E182">
        <v>3</v>
      </c>
      <c r="F182">
        <v>2</v>
      </c>
      <c r="G182">
        <v>2309</v>
      </c>
      <c r="H182">
        <v>1947</v>
      </c>
      <c r="I182" s="2">
        <v>44796</v>
      </c>
      <c r="J182" t="s">
        <v>566</v>
      </c>
      <c r="K182" t="s">
        <v>571</v>
      </c>
      <c r="L182">
        <v>981832</v>
      </c>
      <c r="M182">
        <v>425.22</v>
      </c>
      <c r="N182">
        <v>50</v>
      </c>
      <c r="O182">
        <v>37.713999999999999</v>
      </c>
      <c r="P182">
        <v>-122.401</v>
      </c>
      <c r="Q182" t="s">
        <v>576</v>
      </c>
    </row>
    <row r="183" spans="1:17" x14ac:dyDescent="0.3">
      <c r="A183" t="s">
        <v>198</v>
      </c>
      <c r="B183" t="s">
        <v>274</v>
      </c>
      <c r="C183" t="s">
        <v>292</v>
      </c>
      <c r="D183" t="s">
        <v>502</v>
      </c>
      <c r="E183">
        <v>3</v>
      </c>
      <c r="F183">
        <v>3</v>
      </c>
      <c r="G183">
        <v>2460</v>
      </c>
      <c r="H183">
        <v>1942</v>
      </c>
      <c r="I183" s="2">
        <v>44656</v>
      </c>
      <c r="J183" t="s">
        <v>570</v>
      </c>
      <c r="K183" t="s">
        <v>572</v>
      </c>
      <c r="L183">
        <v>1301334</v>
      </c>
      <c r="M183">
        <v>529</v>
      </c>
      <c r="N183">
        <v>11</v>
      </c>
      <c r="O183">
        <v>34.049999999999997</v>
      </c>
      <c r="P183">
        <v>-118.209</v>
      </c>
      <c r="Q183" t="s">
        <v>579</v>
      </c>
    </row>
    <row r="184" spans="1:17" x14ac:dyDescent="0.3">
      <c r="A184" t="s">
        <v>199</v>
      </c>
      <c r="B184" t="s">
        <v>270</v>
      </c>
      <c r="C184" t="s">
        <v>306</v>
      </c>
      <c r="D184" t="s">
        <v>503</v>
      </c>
      <c r="E184">
        <v>4</v>
      </c>
      <c r="F184">
        <v>4</v>
      </c>
      <c r="G184">
        <v>2544</v>
      </c>
      <c r="H184">
        <v>2001</v>
      </c>
      <c r="I184" s="2">
        <v>43794</v>
      </c>
      <c r="J184" t="s">
        <v>567</v>
      </c>
      <c r="K184" t="s">
        <v>572</v>
      </c>
      <c r="L184">
        <v>1610888</v>
      </c>
      <c r="M184">
        <v>633.21</v>
      </c>
      <c r="N184">
        <v>46</v>
      </c>
      <c r="O184">
        <v>40.707999999999998</v>
      </c>
      <c r="P184">
        <v>-73.927000000000007</v>
      </c>
      <c r="Q184" t="s">
        <v>577</v>
      </c>
    </row>
    <row r="185" spans="1:17" x14ac:dyDescent="0.3">
      <c r="A185" t="s">
        <v>200</v>
      </c>
      <c r="B185" t="s">
        <v>273</v>
      </c>
      <c r="C185" t="s">
        <v>309</v>
      </c>
      <c r="D185" t="s">
        <v>504</v>
      </c>
      <c r="E185">
        <v>1</v>
      </c>
      <c r="F185">
        <v>1</v>
      </c>
      <c r="G185">
        <v>1349</v>
      </c>
      <c r="H185">
        <v>1985</v>
      </c>
      <c r="I185" s="2">
        <v>43127</v>
      </c>
      <c r="J185" t="s">
        <v>569</v>
      </c>
      <c r="K185" t="s">
        <v>573</v>
      </c>
      <c r="L185">
        <v>675216</v>
      </c>
      <c r="M185">
        <v>500.53</v>
      </c>
      <c r="N185">
        <v>30</v>
      </c>
      <c r="O185">
        <v>45.545999999999999</v>
      </c>
      <c r="P185">
        <v>-122.76600000000001</v>
      </c>
      <c r="Q185" t="s">
        <v>575</v>
      </c>
    </row>
    <row r="186" spans="1:17" x14ac:dyDescent="0.3">
      <c r="A186" t="s">
        <v>201</v>
      </c>
      <c r="B186" t="s">
        <v>273</v>
      </c>
      <c r="C186" t="s">
        <v>285</v>
      </c>
      <c r="D186" t="s">
        <v>505</v>
      </c>
      <c r="E186">
        <v>3</v>
      </c>
      <c r="F186">
        <v>3</v>
      </c>
      <c r="G186">
        <v>2392</v>
      </c>
      <c r="H186">
        <v>1981</v>
      </c>
      <c r="I186" s="2">
        <v>45099</v>
      </c>
      <c r="J186" t="s">
        <v>566</v>
      </c>
      <c r="K186" t="s">
        <v>573</v>
      </c>
      <c r="L186">
        <v>1494707</v>
      </c>
      <c r="M186">
        <v>624.88</v>
      </c>
      <c r="N186">
        <v>45</v>
      </c>
      <c r="O186">
        <v>45.53</v>
      </c>
      <c r="P186">
        <v>-122.77800000000001</v>
      </c>
      <c r="Q186" t="s">
        <v>577</v>
      </c>
    </row>
    <row r="187" spans="1:17" x14ac:dyDescent="0.3">
      <c r="A187" t="s">
        <v>202</v>
      </c>
      <c r="B187" t="s">
        <v>273</v>
      </c>
      <c r="C187" t="s">
        <v>286</v>
      </c>
      <c r="D187" t="s">
        <v>506</v>
      </c>
      <c r="E187">
        <v>1</v>
      </c>
      <c r="F187">
        <v>1</v>
      </c>
      <c r="G187">
        <v>1397</v>
      </c>
      <c r="H187">
        <v>1989</v>
      </c>
      <c r="I187" s="2">
        <v>43835</v>
      </c>
      <c r="J187" t="s">
        <v>566</v>
      </c>
      <c r="K187" t="s">
        <v>572</v>
      </c>
      <c r="L187">
        <v>692748</v>
      </c>
      <c r="M187">
        <v>495.88</v>
      </c>
      <c r="N187">
        <v>22</v>
      </c>
      <c r="O187">
        <v>45.524999999999999</v>
      </c>
      <c r="P187">
        <v>-122.732</v>
      </c>
      <c r="Q187" t="s">
        <v>577</v>
      </c>
    </row>
    <row r="188" spans="1:17" x14ac:dyDescent="0.3">
      <c r="A188" t="s">
        <v>203</v>
      </c>
      <c r="B188" t="s">
        <v>269</v>
      </c>
      <c r="C188" t="s">
        <v>280</v>
      </c>
      <c r="D188" t="s">
        <v>507</v>
      </c>
      <c r="E188">
        <v>4</v>
      </c>
      <c r="F188">
        <v>4</v>
      </c>
      <c r="G188">
        <v>2499</v>
      </c>
      <c r="H188">
        <v>1951</v>
      </c>
      <c r="I188" s="2">
        <v>45415</v>
      </c>
      <c r="J188" t="s">
        <v>567</v>
      </c>
      <c r="K188" t="s">
        <v>574</v>
      </c>
      <c r="L188">
        <v>1466997</v>
      </c>
      <c r="M188">
        <v>587.03</v>
      </c>
      <c r="N188">
        <v>43</v>
      </c>
      <c r="O188">
        <v>39.685000000000002</v>
      </c>
      <c r="P188">
        <v>-104.953</v>
      </c>
    </row>
    <row r="189" spans="1:17" x14ac:dyDescent="0.3">
      <c r="A189" t="s">
        <v>204</v>
      </c>
      <c r="B189" t="s">
        <v>267</v>
      </c>
      <c r="C189" t="s">
        <v>293</v>
      </c>
      <c r="D189" t="s">
        <v>402</v>
      </c>
      <c r="E189">
        <v>4</v>
      </c>
      <c r="F189">
        <v>4</v>
      </c>
      <c r="G189">
        <v>2919</v>
      </c>
      <c r="H189">
        <v>1960</v>
      </c>
      <c r="I189" s="2">
        <v>43139</v>
      </c>
      <c r="J189" t="s">
        <v>567</v>
      </c>
      <c r="K189" t="s">
        <v>573</v>
      </c>
      <c r="L189">
        <v>1603722</v>
      </c>
      <c r="M189">
        <v>549.41</v>
      </c>
      <c r="N189">
        <v>25</v>
      </c>
      <c r="O189">
        <v>37.838999999999999</v>
      </c>
      <c r="P189">
        <v>-122.301</v>
      </c>
      <c r="Q189" t="s">
        <v>576</v>
      </c>
    </row>
    <row r="190" spans="1:17" x14ac:dyDescent="0.3">
      <c r="A190" t="s">
        <v>205</v>
      </c>
      <c r="B190" t="s">
        <v>273</v>
      </c>
      <c r="C190" t="s">
        <v>309</v>
      </c>
      <c r="D190" t="s">
        <v>508</v>
      </c>
      <c r="E190">
        <v>2</v>
      </c>
      <c r="F190">
        <v>2</v>
      </c>
      <c r="G190">
        <v>2100</v>
      </c>
      <c r="H190">
        <v>2011</v>
      </c>
      <c r="I190" s="2">
        <v>45048</v>
      </c>
      <c r="J190" t="s">
        <v>568</v>
      </c>
      <c r="K190" t="s">
        <v>573</v>
      </c>
      <c r="L190">
        <v>1159544</v>
      </c>
      <c r="M190">
        <v>552.16</v>
      </c>
      <c r="N190">
        <v>26</v>
      </c>
      <c r="O190">
        <v>45.435000000000002</v>
      </c>
      <c r="P190">
        <v>-122.595</v>
      </c>
      <c r="Q190" t="s">
        <v>577</v>
      </c>
    </row>
    <row r="191" spans="1:17" x14ac:dyDescent="0.3">
      <c r="A191" t="s">
        <v>206</v>
      </c>
      <c r="B191" t="s">
        <v>275</v>
      </c>
      <c r="C191" t="s">
        <v>308</v>
      </c>
      <c r="D191" t="s">
        <v>509</v>
      </c>
      <c r="E191">
        <v>1</v>
      </c>
      <c r="F191">
        <v>1</v>
      </c>
      <c r="G191">
        <v>1248</v>
      </c>
      <c r="H191">
        <v>1975</v>
      </c>
      <c r="I191" s="2">
        <v>44732</v>
      </c>
      <c r="J191" t="s">
        <v>566</v>
      </c>
      <c r="K191" t="s">
        <v>571</v>
      </c>
      <c r="L191">
        <v>382569</v>
      </c>
      <c r="M191">
        <v>306.55</v>
      </c>
      <c r="N191">
        <v>24</v>
      </c>
      <c r="O191">
        <v>30.283000000000001</v>
      </c>
      <c r="P191">
        <v>-97.727000000000004</v>
      </c>
      <c r="Q191" t="s">
        <v>578</v>
      </c>
    </row>
    <row r="192" spans="1:17" x14ac:dyDescent="0.3">
      <c r="A192" t="s">
        <v>207</v>
      </c>
      <c r="B192" t="s">
        <v>269</v>
      </c>
      <c r="C192" t="s">
        <v>288</v>
      </c>
      <c r="D192" t="s">
        <v>510</v>
      </c>
      <c r="E192">
        <v>2</v>
      </c>
      <c r="F192">
        <v>1</v>
      </c>
      <c r="G192">
        <v>1805</v>
      </c>
      <c r="H192">
        <v>1988</v>
      </c>
      <c r="I192" s="2">
        <v>45152</v>
      </c>
      <c r="J192" t="s">
        <v>568</v>
      </c>
      <c r="K192" t="s">
        <v>573</v>
      </c>
      <c r="L192">
        <v>1008574</v>
      </c>
      <c r="M192">
        <v>558.77</v>
      </c>
      <c r="N192">
        <v>44</v>
      </c>
      <c r="O192">
        <v>39.726999999999997</v>
      </c>
      <c r="P192">
        <v>-104.922</v>
      </c>
      <c r="Q192" t="s">
        <v>576</v>
      </c>
    </row>
    <row r="193" spans="1:17" x14ac:dyDescent="0.3">
      <c r="A193" t="s">
        <v>208</v>
      </c>
      <c r="B193" t="s">
        <v>274</v>
      </c>
      <c r="C193" t="s">
        <v>292</v>
      </c>
      <c r="D193" t="s">
        <v>511</v>
      </c>
      <c r="E193">
        <v>3</v>
      </c>
      <c r="F193">
        <v>3</v>
      </c>
      <c r="G193">
        <v>2045</v>
      </c>
      <c r="H193">
        <v>1934</v>
      </c>
      <c r="I193" s="2">
        <v>45110</v>
      </c>
      <c r="J193" t="s">
        <v>567</v>
      </c>
      <c r="K193" t="s">
        <v>571</v>
      </c>
      <c r="L193">
        <v>1365362</v>
      </c>
      <c r="M193">
        <v>667.66</v>
      </c>
      <c r="N193">
        <v>31</v>
      </c>
      <c r="O193">
        <v>34.137999999999998</v>
      </c>
      <c r="P193">
        <v>-118.254</v>
      </c>
      <c r="Q193" t="s">
        <v>579</v>
      </c>
    </row>
    <row r="194" spans="1:17" x14ac:dyDescent="0.3">
      <c r="A194" t="s">
        <v>209</v>
      </c>
      <c r="B194" t="s">
        <v>267</v>
      </c>
      <c r="C194" t="s">
        <v>286</v>
      </c>
      <c r="D194" t="s">
        <v>512</v>
      </c>
      <c r="E194">
        <v>3</v>
      </c>
      <c r="F194">
        <v>2</v>
      </c>
      <c r="G194">
        <v>2159</v>
      </c>
      <c r="H194">
        <v>1991</v>
      </c>
      <c r="I194" s="2">
        <v>43437</v>
      </c>
      <c r="J194" t="s">
        <v>568</v>
      </c>
      <c r="K194" t="s">
        <v>573</v>
      </c>
      <c r="L194">
        <v>1066476</v>
      </c>
      <c r="M194">
        <v>493.97</v>
      </c>
      <c r="N194">
        <v>9</v>
      </c>
      <c r="O194">
        <v>37.811999999999998</v>
      </c>
      <c r="P194">
        <v>-122.303</v>
      </c>
      <c r="Q194" t="s">
        <v>579</v>
      </c>
    </row>
    <row r="195" spans="1:17" x14ac:dyDescent="0.3">
      <c r="A195" t="s">
        <v>210</v>
      </c>
      <c r="B195" t="s">
        <v>269</v>
      </c>
      <c r="C195" t="s">
        <v>321</v>
      </c>
      <c r="D195" t="s">
        <v>513</v>
      </c>
      <c r="E195">
        <v>1</v>
      </c>
      <c r="F195">
        <v>1</v>
      </c>
      <c r="G195">
        <v>1786</v>
      </c>
      <c r="H195">
        <v>1939</v>
      </c>
      <c r="I195" s="2">
        <v>44575</v>
      </c>
      <c r="J195" t="s">
        <v>568</v>
      </c>
      <c r="K195" t="s">
        <v>573</v>
      </c>
      <c r="L195">
        <v>837850</v>
      </c>
      <c r="M195">
        <v>469.12</v>
      </c>
      <c r="N195">
        <v>22</v>
      </c>
      <c r="O195">
        <v>39.656999999999996</v>
      </c>
      <c r="P195">
        <v>-105.004</v>
      </c>
      <c r="Q195" t="s">
        <v>577</v>
      </c>
    </row>
    <row r="196" spans="1:17" x14ac:dyDescent="0.3">
      <c r="A196" t="s">
        <v>211</v>
      </c>
      <c r="B196" t="s">
        <v>272</v>
      </c>
      <c r="C196" t="s">
        <v>294</v>
      </c>
      <c r="D196" t="s">
        <v>514</v>
      </c>
      <c r="E196">
        <v>1</v>
      </c>
      <c r="F196">
        <v>1</v>
      </c>
      <c r="G196">
        <v>1658</v>
      </c>
      <c r="H196">
        <v>1970</v>
      </c>
      <c r="I196" s="2">
        <v>45546</v>
      </c>
      <c r="J196" t="s">
        <v>570</v>
      </c>
      <c r="K196" t="s">
        <v>572</v>
      </c>
      <c r="L196">
        <v>916237</v>
      </c>
      <c r="M196">
        <v>552.62</v>
      </c>
      <c r="N196">
        <v>40</v>
      </c>
      <c r="O196">
        <v>25.832999999999998</v>
      </c>
      <c r="P196">
        <v>-80.287999999999997</v>
      </c>
      <c r="Q196" t="s">
        <v>578</v>
      </c>
    </row>
    <row r="197" spans="1:17" x14ac:dyDescent="0.3">
      <c r="A197" t="s">
        <v>212</v>
      </c>
      <c r="B197" t="s">
        <v>273</v>
      </c>
      <c r="C197" t="s">
        <v>289</v>
      </c>
      <c r="D197" t="s">
        <v>515</v>
      </c>
      <c r="E197">
        <v>5</v>
      </c>
      <c r="F197">
        <v>5</v>
      </c>
      <c r="G197">
        <v>2762</v>
      </c>
      <c r="H197">
        <v>1987</v>
      </c>
      <c r="I197" s="2">
        <v>43795</v>
      </c>
      <c r="J197" t="s">
        <v>567</v>
      </c>
      <c r="K197" t="s">
        <v>571</v>
      </c>
      <c r="L197">
        <v>1916255</v>
      </c>
      <c r="M197">
        <v>693.79</v>
      </c>
      <c r="N197">
        <v>9</v>
      </c>
      <c r="O197">
        <v>45.473999999999997</v>
      </c>
      <c r="P197">
        <v>-122.751</v>
      </c>
      <c r="Q197" t="s">
        <v>575</v>
      </c>
    </row>
    <row r="198" spans="1:17" x14ac:dyDescent="0.3">
      <c r="A198" t="s">
        <v>213</v>
      </c>
      <c r="B198" t="s">
        <v>272</v>
      </c>
      <c r="C198" t="s">
        <v>323</v>
      </c>
      <c r="D198" t="s">
        <v>516</v>
      </c>
      <c r="E198">
        <v>4</v>
      </c>
      <c r="F198">
        <v>3</v>
      </c>
      <c r="G198">
        <v>2608</v>
      </c>
      <c r="H198">
        <v>1946</v>
      </c>
      <c r="I198" s="2">
        <v>44111</v>
      </c>
      <c r="J198" t="s">
        <v>569</v>
      </c>
      <c r="K198" t="s">
        <v>571</v>
      </c>
      <c r="M198">
        <v>584.66</v>
      </c>
      <c r="N198">
        <v>37</v>
      </c>
      <c r="O198">
        <v>25.699000000000002</v>
      </c>
      <c r="P198">
        <v>-80.269000000000005</v>
      </c>
      <c r="Q198" t="s">
        <v>576</v>
      </c>
    </row>
    <row r="199" spans="1:17" x14ac:dyDescent="0.3">
      <c r="A199" t="s">
        <v>214</v>
      </c>
      <c r="B199" t="s">
        <v>269</v>
      </c>
      <c r="C199" t="s">
        <v>322</v>
      </c>
      <c r="D199" t="s">
        <v>494</v>
      </c>
      <c r="E199">
        <v>4</v>
      </c>
      <c r="F199">
        <v>3</v>
      </c>
      <c r="G199">
        <v>2281</v>
      </c>
      <c r="H199">
        <v>1942</v>
      </c>
      <c r="I199" s="2">
        <v>44472</v>
      </c>
      <c r="J199" t="s">
        <v>569</v>
      </c>
      <c r="K199" t="s">
        <v>572</v>
      </c>
      <c r="L199">
        <v>1420789</v>
      </c>
      <c r="M199">
        <v>622.88</v>
      </c>
      <c r="N199">
        <v>45</v>
      </c>
      <c r="O199">
        <v>39.811999999999998</v>
      </c>
      <c r="P199">
        <v>-104.895</v>
      </c>
      <c r="Q199" t="s">
        <v>575</v>
      </c>
    </row>
    <row r="200" spans="1:17" x14ac:dyDescent="0.3">
      <c r="A200" t="s">
        <v>215</v>
      </c>
      <c r="B200" t="s">
        <v>274</v>
      </c>
      <c r="C200" t="s">
        <v>320</v>
      </c>
      <c r="D200" t="s">
        <v>441</v>
      </c>
      <c r="E200">
        <v>4</v>
      </c>
      <c r="F200">
        <v>4</v>
      </c>
      <c r="G200">
        <v>2659</v>
      </c>
      <c r="H200">
        <v>1950</v>
      </c>
      <c r="I200" s="2">
        <v>44294</v>
      </c>
      <c r="J200" t="s">
        <v>569</v>
      </c>
      <c r="K200" t="s">
        <v>574</v>
      </c>
      <c r="L200">
        <v>1755855</v>
      </c>
      <c r="M200">
        <v>660.34</v>
      </c>
      <c r="N200">
        <v>26</v>
      </c>
      <c r="O200">
        <v>34.106000000000002</v>
      </c>
      <c r="P200">
        <v>-118.27500000000001</v>
      </c>
      <c r="Q200" t="s">
        <v>576</v>
      </c>
    </row>
    <row r="201" spans="1:17" x14ac:dyDescent="0.3">
      <c r="A201" t="s">
        <v>216</v>
      </c>
      <c r="B201" t="s">
        <v>269</v>
      </c>
      <c r="C201" t="s">
        <v>321</v>
      </c>
      <c r="D201" t="s">
        <v>517</v>
      </c>
      <c r="E201">
        <v>5</v>
      </c>
      <c r="F201">
        <v>5</v>
      </c>
      <c r="G201">
        <v>2455</v>
      </c>
      <c r="H201">
        <v>1969</v>
      </c>
      <c r="I201" s="2">
        <v>45354</v>
      </c>
      <c r="J201" t="s">
        <v>566</v>
      </c>
      <c r="K201" t="s">
        <v>574</v>
      </c>
      <c r="L201">
        <v>1543351</v>
      </c>
      <c r="M201">
        <v>628.66</v>
      </c>
      <c r="N201">
        <v>46</v>
      </c>
      <c r="O201">
        <v>39.731999999999999</v>
      </c>
      <c r="P201">
        <v>-104.94799999999999</v>
      </c>
      <c r="Q201" t="s">
        <v>578</v>
      </c>
    </row>
    <row r="202" spans="1:17" x14ac:dyDescent="0.3">
      <c r="A202" t="s">
        <v>217</v>
      </c>
      <c r="B202" t="s">
        <v>267</v>
      </c>
      <c r="C202" t="s">
        <v>293</v>
      </c>
      <c r="D202" t="s">
        <v>518</v>
      </c>
      <c r="E202">
        <v>4</v>
      </c>
      <c r="F202">
        <v>4</v>
      </c>
      <c r="G202">
        <v>2589</v>
      </c>
      <c r="H202">
        <v>1938</v>
      </c>
      <c r="I202" s="2">
        <v>44135</v>
      </c>
      <c r="J202" t="s">
        <v>567</v>
      </c>
      <c r="K202" t="s">
        <v>572</v>
      </c>
      <c r="L202">
        <v>1246348</v>
      </c>
      <c r="M202">
        <v>481.4</v>
      </c>
      <c r="N202">
        <v>61</v>
      </c>
      <c r="O202">
        <v>37.828000000000003</v>
      </c>
      <c r="P202">
        <v>-122.41500000000001</v>
      </c>
      <c r="Q202" t="s">
        <v>577</v>
      </c>
    </row>
    <row r="203" spans="1:17" x14ac:dyDescent="0.3">
      <c r="A203" t="s">
        <v>218</v>
      </c>
      <c r="B203" t="s">
        <v>272</v>
      </c>
      <c r="C203" t="s">
        <v>300</v>
      </c>
      <c r="D203" t="s">
        <v>519</v>
      </c>
      <c r="E203">
        <v>5</v>
      </c>
      <c r="F203">
        <v>4</v>
      </c>
      <c r="G203">
        <v>3039</v>
      </c>
      <c r="H203">
        <v>2011</v>
      </c>
      <c r="I203" s="2">
        <v>45327</v>
      </c>
      <c r="J203" t="s">
        <v>566</v>
      </c>
      <c r="K203" t="s">
        <v>572</v>
      </c>
      <c r="L203">
        <v>2095206</v>
      </c>
      <c r="M203">
        <v>689.44</v>
      </c>
      <c r="N203">
        <v>91</v>
      </c>
      <c r="O203">
        <v>25.731999999999999</v>
      </c>
      <c r="P203">
        <v>-80.111000000000004</v>
      </c>
      <c r="Q203" t="s">
        <v>577</v>
      </c>
    </row>
    <row r="204" spans="1:17" x14ac:dyDescent="0.3">
      <c r="A204" t="s">
        <v>219</v>
      </c>
      <c r="B204" t="s">
        <v>267</v>
      </c>
      <c r="C204" t="s">
        <v>311</v>
      </c>
      <c r="D204" t="s">
        <v>520</v>
      </c>
      <c r="E204">
        <v>3</v>
      </c>
      <c r="F204">
        <v>3</v>
      </c>
      <c r="G204">
        <v>1907</v>
      </c>
      <c r="H204">
        <v>1978</v>
      </c>
      <c r="I204" s="2">
        <v>45407</v>
      </c>
      <c r="J204" t="s">
        <v>569</v>
      </c>
      <c r="K204" t="s">
        <v>574</v>
      </c>
      <c r="L204">
        <v>783843</v>
      </c>
      <c r="M204">
        <v>411.03</v>
      </c>
      <c r="N204">
        <v>18</v>
      </c>
      <c r="O204">
        <v>37.735999999999997</v>
      </c>
      <c r="P204">
        <v>-122.271</v>
      </c>
    </row>
    <row r="205" spans="1:17" x14ac:dyDescent="0.3">
      <c r="A205" t="s">
        <v>220</v>
      </c>
      <c r="B205" t="s">
        <v>271</v>
      </c>
      <c r="C205" t="s">
        <v>299</v>
      </c>
      <c r="D205" t="s">
        <v>521</v>
      </c>
      <c r="E205">
        <v>5</v>
      </c>
      <c r="F205">
        <v>4</v>
      </c>
      <c r="G205">
        <v>3074</v>
      </c>
      <c r="H205">
        <v>1971</v>
      </c>
      <c r="I205" s="2">
        <v>45457</v>
      </c>
      <c r="J205" t="s">
        <v>567</v>
      </c>
      <c r="K205" t="s">
        <v>571</v>
      </c>
      <c r="L205">
        <v>2034588</v>
      </c>
      <c r="M205">
        <v>661.87</v>
      </c>
      <c r="N205">
        <v>33</v>
      </c>
      <c r="O205">
        <v>42.338000000000001</v>
      </c>
      <c r="P205">
        <v>-71.006</v>
      </c>
      <c r="Q205" t="s">
        <v>577</v>
      </c>
    </row>
    <row r="206" spans="1:17" x14ac:dyDescent="0.3">
      <c r="A206" t="s">
        <v>221</v>
      </c>
      <c r="B206" t="s">
        <v>275</v>
      </c>
      <c r="C206" t="s">
        <v>308</v>
      </c>
      <c r="D206" t="s">
        <v>522</v>
      </c>
      <c r="E206">
        <v>1</v>
      </c>
      <c r="F206">
        <v>1</v>
      </c>
      <c r="G206">
        <v>1570</v>
      </c>
      <c r="H206">
        <v>1937</v>
      </c>
      <c r="I206" s="2">
        <v>43452</v>
      </c>
      <c r="J206" t="s">
        <v>566</v>
      </c>
      <c r="K206" t="s">
        <v>572</v>
      </c>
      <c r="L206">
        <v>548911</v>
      </c>
      <c r="M206">
        <v>349.62</v>
      </c>
      <c r="N206">
        <v>108</v>
      </c>
      <c r="O206">
        <v>30.315999999999999</v>
      </c>
      <c r="P206">
        <v>-97.77</v>
      </c>
      <c r="Q206" t="s">
        <v>576</v>
      </c>
    </row>
    <row r="207" spans="1:17" x14ac:dyDescent="0.3">
      <c r="A207" t="s">
        <v>222</v>
      </c>
      <c r="B207" t="s">
        <v>273</v>
      </c>
      <c r="C207" t="s">
        <v>285</v>
      </c>
      <c r="D207" t="s">
        <v>407</v>
      </c>
      <c r="E207">
        <v>3</v>
      </c>
      <c r="F207">
        <v>3</v>
      </c>
      <c r="G207">
        <v>2132</v>
      </c>
      <c r="H207">
        <v>1956</v>
      </c>
      <c r="I207" s="2">
        <v>44407</v>
      </c>
      <c r="J207" t="s">
        <v>566</v>
      </c>
      <c r="K207" t="s">
        <v>571</v>
      </c>
      <c r="L207">
        <v>1318699</v>
      </c>
      <c r="M207">
        <v>618.53</v>
      </c>
      <c r="N207">
        <v>56</v>
      </c>
      <c r="O207">
        <v>45.582000000000001</v>
      </c>
      <c r="P207">
        <v>-122.75700000000001</v>
      </c>
      <c r="Q207" t="s">
        <v>576</v>
      </c>
    </row>
    <row r="208" spans="1:17" x14ac:dyDescent="0.3">
      <c r="A208" t="s">
        <v>223</v>
      </c>
      <c r="B208" t="s">
        <v>277</v>
      </c>
      <c r="C208" t="s">
        <v>295</v>
      </c>
      <c r="D208" t="s">
        <v>523</v>
      </c>
      <c r="E208">
        <v>5</v>
      </c>
      <c r="F208">
        <v>5</v>
      </c>
      <c r="G208">
        <v>2820</v>
      </c>
      <c r="H208">
        <v>1920</v>
      </c>
      <c r="I208" s="2">
        <v>45394</v>
      </c>
      <c r="J208" t="s">
        <v>569</v>
      </c>
      <c r="K208" t="s">
        <v>574</v>
      </c>
      <c r="L208">
        <v>1690871</v>
      </c>
      <c r="M208">
        <v>599.6</v>
      </c>
      <c r="N208">
        <v>11</v>
      </c>
      <c r="O208">
        <v>30.216000000000001</v>
      </c>
      <c r="P208">
        <v>-97.759</v>
      </c>
      <c r="Q208" t="s">
        <v>575</v>
      </c>
    </row>
    <row r="209" spans="1:17" x14ac:dyDescent="0.3">
      <c r="A209" t="s">
        <v>224</v>
      </c>
      <c r="B209" t="s">
        <v>272</v>
      </c>
      <c r="C209" t="s">
        <v>294</v>
      </c>
      <c r="D209" t="s">
        <v>524</v>
      </c>
      <c r="E209">
        <v>5</v>
      </c>
      <c r="F209">
        <v>4</v>
      </c>
      <c r="G209">
        <v>2818</v>
      </c>
      <c r="H209">
        <v>1957</v>
      </c>
      <c r="I209" s="2">
        <v>44860</v>
      </c>
      <c r="J209" t="s">
        <v>569</v>
      </c>
      <c r="K209" t="s">
        <v>573</v>
      </c>
      <c r="L209">
        <v>2118220</v>
      </c>
      <c r="M209">
        <v>751.67</v>
      </c>
      <c r="N209">
        <v>75</v>
      </c>
      <c r="O209">
        <v>25.702999999999999</v>
      </c>
      <c r="P209">
        <v>-80.233999999999995</v>
      </c>
      <c r="Q209" t="s">
        <v>579</v>
      </c>
    </row>
    <row r="210" spans="1:17" x14ac:dyDescent="0.3">
      <c r="A210" t="s">
        <v>225</v>
      </c>
      <c r="B210" t="s">
        <v>274</v>
      </c>
      <c r="C210" t="s">
        <v>297</v>
      </c>
      <c r="D210" t="s">
        <v>525</v>
      </c>
      <c r="E210">
        <v>5</v>
      </c>
      <c r="F210">
        <v>5</v>
      </c>
      <c r="G210">
        <v>3098</v>
      </c>
      <c r="H210">
        <v>1941</v>
      </c>
      <c r="I210" s="2">
        <v>44975</v>
      </c>
      <c r="J210" t="s">
        <v>566</v>
      </c>
      <c r="K210" t="s">
        <v>571</v>
      </c>
      <c r="L210">
        <v>2192495</v>
      </c>
      <c r="M210">
        <v>707.71</v>
      </c>
      <c r="N210">
        <v>5</v>
      </c>
      <c r="O210">
        <v>34.122999999999998</v>
      </c>
      <c r="P210">
        <v>-118.23399999999999</v>
      </c>
      <c r="Q210" t="s">
        <v>579</v>
      </c>
    </row>
    <row r="211" spans="1:17" x14ac:dyDescent="0.3">
      <c r="A211" t="s">
        <v>226</v>
      </c>
      <c r="B211" t="s">
        <v>272</v>
      </c>
      <c r="C211" t="s">
        <v>300</v>
      </c>
      <c r="D211" t="s">
        <v>526</v>
      </c>
      <c r="E211">
        <v>4</v>
      </c>
      <c r="F211">
        <v>4</v>
      </c>
      <c r="G211">
        <v>2369</v>
      </c>
      <c r="H211">
        <v>1944</v>
      </c>
      <c r="I211" s="2">
        <v>44976</v>
      </c>
      <c r="J211" t="s">
        <v>570</v>
      </c>
      <c r="K211" t="s">
        <v>573</v>
      </c>
      <c r="L211">
        <v>1476585</v>
      </c>
      <c r="M211">
        <v>623.29</v>
      </c>
      <c r="N211">
        <v>67</v>
      </c>
      <c r="O211">
        <v>25.795000000000002</v>
      </c>
      <c r="P211">
        <v>-80.13</v>
      </c>
      <c r="Q211" t="s">
        <v>577</v>
      </c>
    </row>
    <row r="212" spans="1:17" x14ac:dyDescent="0.3">
      <c r="A212" t="s">
        <v>227</v>
      </c>
      <c r="B212" t="s">
        <v>275</v>
      </c>
      <c r="C212" t="s">
        <v>308</v>
      </c>
      <c r="D212" t="s">
        <v>527</v>
      </c>
      <c r="E212">
        <v>1</v>
      </c>
      <c r="F212">
        <v>1</v>
      </c>
      <c r="G212">
        <v>1077</v>
      </c>
      <c r="H212">
        <v>1914</v>
      </c>
      <c r="I212" s="2">
        <v>44630</v>
      </c>
      <c r="J212" t="s">
        <v>567</v>
      </c>
      <c r="K212" t="s">
        <v>571</v>
      </c>
      <c r="L212">
        <v>477723</v>
      </c>
      <c r="M212">
        <v>443.57</v>
      </c>
      <c r="N212">
        <v>30</v>
      </c>
      <c r="O212">
        <v>30.254000000000001</v>
      </c>
      <c r="P212">
        <v>-97.811999999999998</v>
      </c>
      <c r="Q212" t="s">
        <v>578</v>
      </c>
    </row>
    <row r="213" spans="1:17" x14ac:dyDescent="0.3">
      <c r="A213" t="s">
        <v>228</v>
      </c>
      <c r="B213" t="s">
        <v>270</v>
      </c>
      <c r="C213" t="s">
        <v>281</v>
      </c>
      <c r="D213" t="s">
        <v>528</v>
      </c>
      <c r="E213">
        <v>2</v>
      </c>
      <c r="F213">
        <v>2</v>
      </c>
      <c r="G213">
        <v>1693</v>
      </c>
      <c r="H213">
        <v>1962</v>
      </c>
      <c r="I213" s="2">
        <v>43675</v>
      </c>
      <c r="J213" t="s">
        <v>567</v>
      </c>
      <c r="K213" t="s">
        <v>571</v>
      </c>
      <c r="L213">
        <v>845429</v>
      </c>
      <c r="M213">
        <v>499.37</v>
      </c>
      <c r="N213">
        <v>14</v>
      </c>
      <c r="O213">
        <v>40.700000000000003</v>
      </c>
      <c r="P213">
        <v>-74.099000000000004</v>
      </c>
      <c r="Q213" t="s">
        <v>576</v>
      </c>
    </row>
    <row r="214" spans="1:17" x14ac:dyDescent="0.3">
      <c r="A214" t="s">
        <v>229</v>
      </c>
      <c r="B214" t="s">
        <v>275</v>
      </c>
      <c r="C214" t="s">
        <v>295</v>
      </c>
      <c r="D214" t="s">
        <v>529</v>
      </c>
      <c r="E214">
        <v>4</v>
      </c>
      <c r="F214">
        <v>3</v>
      </c>
      <c r="G214">
        <v>2606</v>
      </c>
      <c r="H214">
        <v>1964</v>
      </c>
      <c r="I214" s="2">
        <v>44776</v>
      </c>
      <c r="J214" t="s">
        <v>569</v>
      </c>
      <c r="K214" t="s">
        <v>571</v>
      </c>
      <c r="L214">
        <v>1427496</v>
      </c>
      <c r="M214">
        <v>547.77</v>
      </c>
      <c r="N214">
        <v>3</v>
      </c>
      <c r="O214">
        <v>30.338000000000001</v>
      </c>
      <c r="P214">
        <v>-97.742000000000004</v>
      </c>
    </row>
    <row r="215" spans="1:17" x14ac:dyDescent="0.3">
      <c r="A215" t="s">
        <v>230</v>
      </c>
      <c r="B215" t="s">
        <v>276</v>
      </c>
      <c r="C215" t="s">
        <v>317</v>
      </c>
      <c r="D215" t="s">
        <v>530</v>
      </c>
      <c r="E215">
        <v>1</v>
      </c>
      <c r="F215">
        <v>1</v>
      </c>
      <c r="G215">
        <v>1176</v>
      </c>
      <c r="H215">
        <v>1968</v>
      </c>
      <c r="I215" s="2">
        <v>43789</v>
      </c>
      <c r="J215" t="s">
        <v>569</v>
      </c>
      <c r="K215" t="s">
        <v>571</v>
      </c>
      <c r="L215">
        <v>465790</v>
      </c>
      <c r="M215">
        <v>396.08</v>
      </c>
      <c r="N215">
        <v>85</v>
      </c>
      <c r="O215">
        <v>41.935000000000002</v>
      </c>
      <c r="P215">
        <v>-87.620999999999995</v>
      </c>
      <c r="Q215" t="s">
        <v>577</v>
      </c>
    </row>
    <row r="216" spans="1:17" x14ac:dyDescent="0.3">
      <c r="A216" t="s">
        <v>231</v>
      </c>
      <c r="B216" t="s">
        <v>267</v>
      </c>
      <c r="C216" t="s">
        <v>285</v>
      </c>
      <c r="D216" t="s">
        <v>531</v>
      </c>
      <c r="E216">
        <v>5</v>
      </c>
      <c r="F216">
        <v>4</v>
      </c>
      <c r="G216">
        <v>2635</v>
      </c>
      <c r="H216">
        <v>1946</v>
      </c>
      <c r="I216" s="2">
        <v>43271</v>
      </c>
      <c r="J216" t="s">
        <v>569</v>
      </c>
      <c r="K216" t="s">
        <v>571</v>
      </c>
      <c r="L216">
        <v>1359373</v>
      </c>
      <c r="M216">
        <v>515.89</v>
      </c>
      <c r="N216">
        <v>27</v>
      </c>
      <c r="O216">
        <v>37.868000000000002</v>
      </c>
      <c r="P216">
        <v>-122.41</v>
      </c>
      <c r="Q216" t="s">
        <v>579</v>
      </c>
    </row>
    <row r="217" spans="1:17" x14ac:dyDescent="0.3">
      <c r="A217" t="s">
        <v>232</v>
      </c>
      <c r="B217" t="s">
        <v>271</v>
      </c>
      <c r="C217" t="s">
        <v>283</v>
      </c>
      <c r="D217" t="s">
        <v>532</v>
      </c>
      <c r="E217">
        <v>4</v>
      </c>
      <c r="F217">
        <v>4</v>
      </c>
      <c r="G217">
        <v>2332</v>
      </c>
      <c r="H217">
        <v>2010</v>
      </c>
      <c r="I217" s="2">
        <v>44899</v>
      </c>
      <c r="J217" t="s">
        <v>566</v>
      </c>
      <c r="K217" t="s">
        <v>572</v>
      </c>
      <c r="L217">
        <v>1086404</v>
      </c>
      <c r="M217">
        <v>465.87</v>
      </c>
      <c r="N217">
        <v>33</v>
      </c>
      <c r="O217">
        <v>42.307000000000002</v>
      </c>
      <c r="P217">
        <v>-70.998000000000005</v>
      </c>
      <c r="Q217" t="s">
        <v>577</v>
      </c>
    </row>
    <row r="218" spans="1:17" x14ac:dyDescent="0.3">
      <c r="A218" t="s">
        <v>233</v>
      </c>
      <c r="B218" t="s">
        <v>274</v>
      </c>
      <c r="C218" t="s">
        <v>292</v>
      </c>
      <c r="D218" t="s">
        <v>533</v>
      </c>
      <c r="E218">
        <v>2</v>
      </c>
      <c r="F218">
        <v>1</v>
      </c>
      <c r="G218">
        <v>1742</v>
      </c>
      <c r="H218">
        <v>2000</v>
      </c>
      <c r="I218" s="2">
        <v>43948</v>
      </c>
      <c r="J218" t="s">
        <v>566</v>
      </c>
      <c r="K218" t="s">
        <v>571</v>
      </c>
      <c r="L218">
        <v>1052677</v>
      </c>
      <c r="M218">
        <v>604.29</v>
      </c>
      <c r="N218">
        <v>90</v>
      </c>
      <c r="O218">
        <v>34.055999999999997</v>
      </c>
      <c r="P218">
        <v>-118.221</v>
      </c>
      <c r="Q218" t="s">
        <v>575</v>
      </c>
    </row>
    <row r="219" spans="1:17" x14ac:dyDescent="0.3">
      <c r="A219" t="s">
        <v>234</v>
      </c>
      <c r="B219" t="s">
        <v>271</v>
      </c>
      <c r="C219" t="s">
        <v>287</v>
      </c>
      <c r="D219" t="s">
        <v>534</v>
      </c>
      <c r="E219">
        <v>3</v>
      </c>
      <c r="F219">
        <v>2</v>
      </c>
      <c r="G219">
        <v>2382</v>
      </c>
      <c r="H219">
        <v>1965</v>
      </c>
      <c r="I219" s="2">
        <v>43656</v>
      </c>
      <c r="J219" t="s">
        <v>569</v>
      </c>
      <c r="K219" t="s">
        <v>572</v>
      </c>
      <c r="L219">
        <v>1222498</v>
      </c>
      <c r="M219">
        <v>513.22</v>
      </c>
      <c r="N219">
        <v>1</v>
      </c>
      <c r="O219">
        <v>42.457999999999998</v>
      </c>
      <c r="P219">
        <v>-70.986999999999995</v>
      </c>
      <c r="Q219" t="s">
        <v>575</v>
      </c>
    </row>
    <row r="220" spans="1:17" x14ac:dyDescent="0.3">
      <c r="A220" t="s">
        <v>235</v>
      </c>
      <c r="B220" t="s">
        <v>276</v>
      </c>
      <c r="C220" t="s">
        <v>305</v>
      </c>
      <c r="D220" t="s">
        <v>535</v>
      </c>
      <c r="E220">
        <v>3</v>
      </c>
      <c r="F220">
        <v>2</v>
      </c>
      <c r="G220">
        <v>2743</v>
      </c>
      <c r="H220">
        <v>1997</v>
      </c>
      <c r="I220" s="2">
        <v>45105</v>
      </c>
      <c r="J220" t="s">
        <v>567</v>
      </c>
      <c r="K220" t="s">
        <v>571</v>
      </c>
      <c r="L220">
        <v>1410152</v>
      </c>
      <c r="M220">
        <v>514.09</v>
      </c>
      <c r="N220">
        <v>35</v>
      </c>
      <c r="O220">
        <v>41.834000000000003</v>
      </c>
      <c r="P220">
        <v>-87.637</v>
      </c>
      <c r="Q220" t="s">
        <v>578</v>
      </c>
    </row>
    <row r="221" spans="1:17" x14ac:dyDescent="0.3">
      <c r="A221" t="s">
        <v>236</v>
      </c>
      <c r="B221" t="s">
        <v>272</v>
      </c>
      <c r="C221" t="s">
        <v>300</v>
      </c>
      <c r="D221" t="s">
        <v>536</v>
      </c>
      <c r="E221">
        <v>3</v>
      </c>
      <c r="F221">
        <v>2</v>
      </c>
      <c r="G221">
        <v>2094</v>
      </c>
      <c r="H221">
        <v>2012</v>
      </c>
      <c r="I221" s="2">
        <v>44963</v>
      </c>
      <c r="J221" t="s">
        <v>569</v>
      </c>
      <c r="K221" t="s">
        <v>571</v>
      </c>
      <c r="L221">
        <v>1214519</v>
      </c>
      <c r="M221">
        <v>580</v>
      </c>
      <c r="N221">
        <v>30</v>
      </c>
      <c r="O221">
        <v>25.66</v>
      </c>
      <c r="P221">
        <v>-80.135000000000005</v>
      </c>
      <c r="Q221" t="s">
        <v>579</v>
      </c>
    </row>
    <row r="222" spans="1:17" x14ac:dyDescent="0.3">
      <c r="A222" t="s">
        <v>237</v>
      </c>
      <c r="B222" t="s">
        <v>269</v>
      </c>
      <c r="C222" t="s">
        <v>321</v>
      </c>
      <c r="D222" t="s">
        <v>537</v>
      </c>
      <c r="E222">
        <v>5</v>
      </c>
      <c r="F222">
        <v>5</v>
      </c>
      <c r="G222">
        <v>2557</v>
      </c>
      <c r="H222">
        <v>1954</v>
      </c>
      <c r="I222" s="2">
        <v>45127</v>
      </c>
      <c r="J222" t="s">
        <v>568</v>
      </c>
      <c r="K222" t="s">
        <v>571</v>
      </c>
      <c r="L222">
        <v>1599679</v>
      </c>
      <c r="M222">
        <v>625.61</v>
      </c>
      <c r="N222">
        <v>34</v>
      </c>
      <c r="O222">
        <v>39.697000000000003</v>
      </c>
      <c r="P222">
        <v>-104.98099999999999</v>
      </c>
      <c r="Q222" t="s">
        <v>575</v>
      </c>
    </row>
    <row r="223" spans="1:17" x14ac:dyDescent="0.3">
      <c r="A223" t="s">
        <v>238</v>
      </c>
      <c r="B223" t="s">
        <v>269</v>
      </c>
      <c r="C223" t="s">
        <v>321</v>
      </c>
      <c r="D223" t="s">
        <v>538</v>
      </c>
      <c r="E223">
        <v>1</v>
      </c>
      <c r="F223">
        <v>1</v>
      </c>
      <c r="G223">
        <v>1364</v>
      </c>
      <c r="H223">
        <v>2000</v>
      </c>
      <c r="I223" s="2">
        <v>43167</v>
      </c>
      <c r="J223" t="s">
        <v>566</v>
      </c>
      <c r="K223" t="s">
        <v>572</v>
      </c>
      <c r="L223">
        <v>584363</v>
      </c>
      <c r="M223">
        <v>428.42</v>
      </c>
      <c r="N223">
        <v>38</v>
      </c>
      <c r="O223">
        <v>39.671999999999997</v>
      </c>
      <c r="P223">
        <v>-104.999</v>
      </c>
      <c r="Q223" t="s">
        <v>578</v>
      </c>
    </row>
    <row r="224" spans="1:17" x14ac:dyDescent="0.3">
      <c r="A224" t="s">
        <v>239</v>
      </c>
      <c r="B224" t="s">
        <v>271</v>
      </c>
      <c r="C224" t="s">
        <v>299</v>
      </c>
      <c r="D224" t="s">
        <v>539</v>
      </c>
      <c r="E224">
        <v>3</v>
      </c>
      <c r="F224">
        <v>3</v>
      </c>
      <c r="G224">
        <v>2036</v>
      </c>
      <c r="H224">
        <v>1946</v>
      </c>
      <c r="I224" s="2">
        <v>43438</v>
      </c>
      <c r="J224" t="s">
        <v>568</v>
      </c>
      <c r="K224" t="s">
        <v>571</v>
      </c>
      <c r="L224">
        <v>1197649</v>
      </c>
      <c r="M224">
        <v>588.24</v>
      </c>
      <c r="N224">
        <v>44</v>
      </c>
      <c r="O224">
        <v>42.39</v>
      </c>
      <c r="P224">
        <v>-71.150000000000006</v>
      </c>
      <c r="Q224" t="s">
        <v>579</v>
      </c>
    </row>
    <row r="225" spans="1:17" x14ac:dyDescent="0.3">
      <c r="A225" t="s">
        <v>240</v>
      </c>
      <c r="B225" t="s">
        <v>272</v>
      </c>
      <c r="C225" t="s">
        <v>294</v>
      </c>
      <c r="D225" t="s">
        <v>540</v>
      </c>
      <c r="E225">
        <v>1</v>
      </c>
      <c r="F225">
        <v>1</v>
      </c>
      <c r="G225">
        <v>1773</v>
      </c>
      <c r="H225">
        <v>1961</v>
      </c>
      <c r="I225" s="2">
        <v>43644</v>
      </c>
      <c r="J225" t="s">
        <v>570</v>
      </c>
      <c r="K225" t="s">
        <v>573</v>
      </c>
      <c r="L225">
        <v>907067</v>
      </c>
      <c r="M225">
        <v>511.6</v>
      </c>
      <c r="N225">
        <v>27</v>
      </c>
      <c r="O225">
        <v>25.795999999999999</v>
      </c>
      <c r="P225">
        <v>-80.287999999999997</v>
      </c>
      <c r="Q225" t="s">
        <v>579</v>
      </c>
    </row>
    <row r="226" spans="1:17" x14ac:dyDescent="0.3">
      <c r="A226" t="s">
        <v>241</v>
      </c>
      <c r="B226" t="s">
        <v>272</v>
      </c>
      <c r="C226" t="s">
        <v>298</v>
      </c>
      <c r="D226" t="s">
        <v>541</v>
      </c>
      <c r="E226">
        <v>4</v>
      </c>
      <c r="F226">
        <v>4</v>
      </c>
      <c r="G226">
        <v>2314</v>
      </c>
      <c r="H226">
        <v>1949</v>
      </c>
      <c r="I226" s="2">
        <v>43520</v>
      </c>
      <c r="J226" t="s">
        <v>566</v>
      </c>
      <c r="K226" t="s">
        <v>571</v>
      </c>
      <c r="L226">
        <v>1385824</v>
      </c>
      <c r="M226">
        <v>598.89</v>
      </c>
      <c r="N226">
        <v>7</v>
      </c>
      <c r="O226">
        <v>25.835999999999999</v>
      </c>
      <c r="P226">
        <v>-80.263000000000005</v>
      </c>
      <c r="Q226" t="s">
        <v>575</v>
      </c>
    </row>
    <row r="227" spans="1:17" x14ac:dyDescent="0.3">
      <c r="A227" t="s">
        <v>242</v>
      </c>
      <c r="B227" t="s">
        <v>267</v>
      </c>
      <c r="C227" t="s">
        <v>286</v>
      </c>
      <c r="D227" t="s">
        <v>542</v>
      </c>
      <c r="E227">
        <v>5</v>
      </c>
      <c r="F227">
        <v>5</v>
      </c>
      <c r="G227">
        <v>2506</v>
      </c>
      <c r="H227">
        <v>1983</v>
      </c>
      <c r="I227" s="2">
        <v>44903</v>
      </c>
      <c r="J227" t="s">
        <v>568</v>
      </c>
      <c r="K227" t="s">
        <v>572</v>
      </c>
      <c r="L227">
        <v>1308911</v>
      </c>
      <c r="M227">
        <v>522.30999999999995</v>
      </c>
      <c r="N227">
        <v>87</v>
      </c>
      <c r="O227">
        <v>37.795999999999999</v>
      </c>
      <c r="P227">
        <v>-122.4</v>
      </c>
      <c r="Q227" t="s">
        <v>578</v>
      </c>
    </row>
    <row r="228" spans="1:17" x14ac:dyDescent="0.3">
      <c r="A228" t="s">
        <v>243</v>
      </c>
      <c r="B228" t="s">
        <v>276</v>
      </c>
      <c r="C228" t="s">
        <v>307</v>
      </c>
      <c r="D228" t="s">
        <v>543</v>
      </c>
      <c r="E228">
        <v>1</v>
      </c>
      <c r="F228">
        <v>1</v>
      </c>
      <c r="G228">
        <v>1734</v>
      </c>
      <c r="H228">
        <v>1915</v>
      </c>
      <c r="I228" s="2">
        <v>44673</v>
      </c>
      <c r="J228" t="s">
        <v>568</v>
      </c>
      <c r="K228" t="s">
        <v>574</v>
      </c>
      <c r="L228">
        <v>818012</v>
      </c>
      <c r="M228">
        <v>471.75</v>
      </c>
      <c r="N228">
        <v>56</v>
      </c>
      <c r="O228">
        <v>41.843000000000004</v>
      </c>
      <c r="P228">
        <v>-87.691999999999993</v>
      </c>
      <c r="Q228" t="s">
        <v>576</v>
      </c>
    </row>
    <row r="229" spans="1:17" x14ac:dyDescent="0.3">
      <c r="A229" t="s">
        <v>244</v>
      </c>
      <c r="B229" t="s">
        <v>276</v>
      </c>
      <c r="C229" t="s">
        <v>318</v>
      </c>
      <c r="D229" t="s">
        <v>544</v>
      </c>
      <c r="E229">
        <v>5</v>
      </c>
      <c r="F229">
        <v>4</v>
      </c>
      <c r="G229">
        <v>2418</v>
      </c>
      <c r="H229">
        <v>1977</v>
      </c>
      <c r="I229" s="2">
        <v>43210</v>
      </c>
      <c r="J229" t="s">
        <v>568</v>
      </c>
      <c r="K229" t="s">
        <v>573</v>
      </c>
      <c r="L229">
        <v>1422874</v>
      </c>
      <c r="M229">
        <v>588.45000000000005</v>
      </c>
      <c r="N229">
        <v>49</v>
      </c>
      <c r="O229">
        <v>41.901000000000003</v>
      </c>
      <c r="P229">
        <v>-87.682000000000002</v>
      </c>
      <c r="Q229" t="s">
        <v>578</v>
      </c>
    </row>
    <row r="230" spans="1:17" x14ac:dyDescent="0.3">
      <c r="A230" t="s">
        <v>245</v>
      </c>
      <c r="B230" t="s">
        <v>276</v>
      </c>
      <c r="C230" t="s">
        <v>301</v>
      </c>
      <c r="D230" t="s">
        <v>545</v>
      </c>
      <c r="E230">
        <v>4</v>
      </c>
      <c r="F230">
        <v>4</v>
      </c>
      <c r="G230">
        <v>2094</v>
      </c>
      <c r="H230">
        <v>1963</v>
      </c>
      <c r="I230" s="2">
        <v>43391</v>
      </c>
      <c r="J230" t="s">
        <v>570</v>
      </c>
      <c r="K230" t="s">
        <v>572</v>
      </c>
      <c r="L230">
        <v>1252289</v>
      </c>
      <c r="M230">
        <v>598.04</v>
      </c>
      <c r="N230">
        <v>27</v>
      </c>
      <c r="O230">
        <v>41.781999999999996</v>
      </c>
      <c r="P230">
        <v>-87.647999999999996</v>
      </c>
      <c r="Q230" t="s">
        <v>576</v>
      </c>
    </row>
    <row r="231" spans="1:17" x14ac:dyDescent="0.3">
      <c r="A231" t="s">
        <v>246</v>
      </c>
      <c r="B231" t="s">
        <v>274</v>
      </c>
      <c r="C231" t="s">
        <v>292</v>
      </c>
      <c r="D231" t="s">
        <v>546</v>
      </c>
      <c r="E231">
        <v>3</v>
      </c>
      <c r="F231">
        <v>3</v>
      </c>
      <c r="G231">
        <v>2006</v>
      </c>
      <c r="H231">
        <v>1922</v>
      </c>
      <c r="I231" s="2">
        <v>43399</v>
      </c>
      <c r="J231" t="s">
        <v>566</v>
      </c>
      <c r="K231" t="s">
        <v>571</v>
      </c>
      <c r="L231">
        <v>1330816</v>
      </c>
      <c r="M231">
        <v>663.42</v>
      </c>
      <c r="N231">
        <v>48</v>
      </c>
      <c r="O231">
        <v>33.953000000000003</v>
      </c>
      <c r="P231">
        <v>-118.297</v>
      </c>
    </row>
    <row r="232" spans="1:17" x14ac:dyDescent="0.3">
      <c r="A232" t="s">
        <v>247</v>
      </c>
      <c r="B232" t="s">
        <v>273</v>
      </c>
      <c r="C232" t="s">
        <v>286</v>
      </c>
      <c r="D232" t="s">
        <v>547</v>
      </c>
      <c r="E232">
        <v>5</v>
      </c>
      <c r="F232">
        <v>4</v>
      </c>
      <c r="G232">
        <v>2610</v>
      </c>
      <c r="H232">
        <v>1954</v>
      </c>
      <c r="I232" s="2">
        <v>43438</v>
      </c>
      <c r="J232" t="s">
        <v>570</v>
      </c>
      <c r="K232" t="s">
        <v>571</v>
      </c>
      <c r="L232">
        <v>1979523</v>
      </c>
      <c r="M232">
        <v>758.44</v>
      </c>
      <c r="N232">
        <v>2</v>
      </c>
      <c r="O232">
        <v>45.451000000000001</v>
      </c>
      <c r="P232">
        <v>-122.76300000000001</v>
      </c>
    </row>
    <row r="233" spans="1:17" x14ac:dyDescent="0.3">
      <c r="A233" t="s">
        <v>248</v>
      </c>
      <c r="B233" t="s">
        <v>275</v>
      </c>
      <c r="C233" t="s">
        <v>302</v>
      </c>
      <c r="D233" t="s">
        <v>548</v>
      </c>
      <c r="E233">
        <v>3</v>
      </c>
      <c r="F233">
        <v>3</v>
      </c>
      <c r="G233">
        <v>2254</v>
      </c>
      <c r="H233">
        <v>1981</v>
      </c>
      <c r="I233" s="2">
        <v>44371</v>
      </c>
      <c r="J233" t="s">
        <v>569</v>
      </c>
      <c r="K233" t="s">
        <v>572</v>
      </c>
      <c r="L233">
        <v>1142888</v>
      </c>
      <c r="M233">
        <v>507.05</v>
      </c>
      <c r="N233">
        <v>25</v>
      </c>
      <c r="O233">
        <v>30.338999999999999</v>
      </c>
      <c r="P233">
        <v>-97.828000000000003</v>
      </c>
    </row>
    <row r="234" spans="1:17" x14ac:dyDescent="0.3">
      <c r="A234" t="s">
        <v>249</v>
      </c>
      <c r="B234" t="s">
        <v>270</v>
      </c>
      <c r="C234" t="s">
        <v>281</v>
      </c>
      <c r="D234" t="s">
        <v>549</v>
      </c>
      <c r="E234">
        <v>5</v>
      </c>
      <c r="F234">
        <v>5</v>
      </c>
      <c r="G234">
        <v>2782</v>
      </c>
      <c r="H234">
        <v>1985</v>
      </c>
      <c r="I234" s="2">
        <v>43590</v>
      </c>
      <c r="J234" t="s">
        <v>566</v>
      </c>
      <c r="K234" t="s">
        <v>572</v>
      </c>
      <c r="L234">
        <v>1771991</v>
      </c>
      <c r="M234">
        <v>636.95000000000005</v>
      </c>
      <c r="N234">
        <v>62</v>
      </c>
      <c r="O234">
        <v>40.75</v>
      </c>
      <c r="P234">
        <v>-74.076999999999998</v>
      </c>
      <c r="Q234" t="s">
        <v>576</v>
      </c>
    </row>
    <row r="235" spans="1:17" x14ac:dyDescent="0.3">
      <c r="A235" t="s">
        <v>250</v>
      </c>
      <c r="B235" t="s">
        <v>271</v>
      </c>
      <c r="C235" t="s">
        <v>299</v>
      </c>
      <c r="D235" t="s">
        <v>550</v>
      </c>
      <c r="E235">
        <v>3</v>
      </c>
      <c r="F235">
        <v>3</v>
      </c>
      <c r="G235">
        <v>2054</v>
      </c>
      <c r="H235">
        <v>1999</v>
      </c>
      <c r="I235" s="2">
        <v>43584</v>
      </c>
      <c r="J235" t="s">
        <v>566</v>
      </c>
      <c r="K235" t="s">
        <v>571</v>
      </c>
      <c r="L235">
        <v>1043099</v>
      </c>
      <c r="M235">
        <v>507.84</v>
      </c>
      <c r="N235">
        <v>66</v>
      </c>
      <c r="O235">
        <v>42.345999999999997</v>
      </c>
      <c r="P235">
        <v>-71.055000000000007</v>
      </c>
      <c r="Q235" t="s">
        <v>576</v>
      </c>
    </row>
    <row r="236" spans="1:17" x14ac:dyDescent="0.3">
      <c r="A236" t="s">
        <v>251</v>
      </c>
      <c r="B236" t="s">
        <v>267</v>
      </c>
      <c r="C236" t="s">
        <v>293</v>
      </c>
      <c r="D236" t="s">
        <v>551</v>
      </c>
      <c r="E236">
        <v>4</v>
      </c>
      <c r="F236">
        <v>4</v>
      </c>
      <c r="G236">
        <v>2224</v>
      </c>
      <c r="H236">
        <v>1907</v>
      </c>
      <c r="I236" s="2">
        <v>45422</v>
      </c>
      <c r="J236" t="s">
        <v>567</v>
      </c>
      <c r="K236" t="s">
        <v>571</v>
      </c>
      <c r="L236">
        <v>1044678</v>
      </c>
      <c r="M236">
        <v>469.73</v>
      </c>
      <c r="N236">
        <v>11</v>
      </c>
      <c r="O236">
        <v>37.720999999999997</v>
      </c>
      <c r="P236">
        <v>-122.40900000000001</v>
      </c>
      <c r="Q236" t="s">
        <v>577</v>
      </c>
    </row>
    <row r="237" spans="1:17" x14ac:dyDescent="0.3">
      <c r="A237" t="s">
        <v>252</v>
      </c>
      <c r="B237" t="s">
        <v>276</v>
      </c>
      <c r="C237" t="s">
        <v>318</v>
      </c>
      <c r="D237" t="s">
        <v>552</v>
      </c>
      <c r="E237">
        <v>1</v>
      </c>
      <c r="F237">
        <v>1</v>
      </c>
      <c r="G237">
        <v>1652</v>
      </c>
      <c r="H237">
        <v>2010</v>
      </c>
      <c r="I237" s="2">
        <v>44102</v>
      </c>
      <c r="J237" t="s">
        <v>566</v>
      </c>
      <c r="K237" t="s">
        <v>571</v>
      </c>
      <c r="L237">
        <v>573873</v>
      </c>
      <c r="M237">
        <v>347.38</v>
      </c>
      <c r="N237">
        <v>87</v>
      </c>
      <c r="O237">
        <v>41.856999999999999</v>
      </c>
      <c r="P237">
        <v>-87.69</v>
      </c>
    </row>
    <row r="238" spans="1:17" x14ac:dyDescent="0.3">
      <c r="A238" t="s">
        <v>253</v>
      </c>
      <c r="B238" t="s">
        <v>276</v>
      </c>
      <c r="C238" t="s">
        <v>317</v>
      </c>
      <c r="D238" t="s">
        <v>553</v>
      </c>
      <c r="E238">
        <v>2</v>
      </c>
      <c r="F238">
        <v>2</v>
      </c>
      <c r="G238">
        <v>1280</v>
      </c>
      <c r="H238">
        <v>1992</v>
      </c>
      <c r="I238" s="2">
        <v>44212</v>
      </c>
      <c r="J238" t="s">
        <v>566</v>
      </c>
      <c r="K238" t="s">
        <v>571</v>
      </c>
      <c r="L238">
        <v>676807</v>
      </c>
      <c r="M238">
        <v>528.76</v>
      </c>
      <c r="N238">
        <v>41</v>
      </c>
      <c r="O238">
        <v>41.804000000000002</v>
      </c>
      <c r="P238">
        <v>-87.584999999999994</v>
      </c>
    </row>
    <row r="239" spans="1:17" x14ac:dyDescent="0.3">
      <c r="A239" t="s">
        <v>254</v>
      </c>
      <c r="B239" t="s">
        <v>273</v>
      </c>
      <c r="C239" t="s">
        <v>309</v>
      </c>
      <c r="D239" t="s">
        <v>554</v>
      </c>
      <c r="E239">
        <v>4</v>
      </c>
      <c r="F239">
        <v>4</v>
      </c>
      <c r="G239">
        <v>2376</v>
      </c>
      <c r="H239">
        <v>1959</v>
      </c>
      <c r="I239" s="2">
        <v>44373</v>
      </c>
      <c r="J239" t="s">
        <v>568</v>
      </c>
      <c r="K239" t="s">
        <v>573</v>
      </c>
      <c r="L239">
        <v>1514389</v>
      </c>
      <c r="M239">
        <v>637.37</v>
      </c>
      <c r="N239">
        <v>46</v>
      </c>
      <c r="O239">
        <v>45.511000000000003</v>
      </c>
      <c r="P239">
        <v>-122.706</v>
      </c>
      <c r="Q239" t="s">
        <v>576</v>
      </c>
    </row>
    <row r="240" spans="1:17" x14ac:dyDescent="0.3">
      <c r="A240" t="s">
        <v>255</v>
      </c>
      <c r="B240" t="s">
        <v>274</v>
      </c>
      <c r="C240" t="s">
        <v>320</v>
      </c>
      <c r="D240" t="s">
        <v>555</v>
      </c>
      <c r="E240">
        <v>4</v>
      </c>
      <c r="F240">
        <v>4</v>
      </c>
      <c r="G240">
        <v>2391</v>
      </c>
      <c r="H240">
        <v>1963</v>
      </c>
      <c r="I240" s="2">
        <v>45339</v>
      </c>
      <c r="J240" t="s">
        <v>567</v>
      </c>
      <c r="K240" t="s">
        <v>573</v>
      </c>
      <c r="L240">
        <v>1723891</v>
      </c>
      <c r="M240">
        <v>720.99</v>
      </c>
      <c r="N240">
        <v>38</v>
      </c>
      <c r="O240">
        <v>34.136000000000003</v>
      </c>
      <c r="P240">
        <v>-118.33499999999999</v>
      </c>
      <c r="Q240" t="s">
        <v>577</v>
      </c>
    </row>
    <row r="241" spans="1:17" x14ac:dyDescent="0.3">
      <c r="A241" t="s">
        <v>256</v>
      </c>
      <c r="B241" t="s">
        <v>269</v>
      </c>
      <c r="C241" t="s">
        <v>321</v>
      </c>
      <c r="D241" t="s">
        <v>556</v>
      </c>
      <c r="E241">
        <v>4</v>
      </c>
      <c r="F241">
        <v>3</v>
      </c>
      <c r="G241">
        <v>2438</v>
      </c>
      <c r="H241">
        <v>1993</v>
      </c>
      <c r="I241" s="2">
        <v>43526</v>
      </c>
      <c r="J241" t="s">
        <v>567</v>
      </c>
      <c r="K241" t="s">
        <v>571</v>
      </c>
      <c r="L241">
        <v>1426383</v>
      </c>
      <c r="M241">
        <v>585.05999999999995</v>
      </c>
      <c r="N241">
        <v>33</v>
      </c>
      <c r="O241">
        <v>39.688000000000002</v>
      </c>
      <c r="P241">
        <v>-104.992</v>
      </c>
    </row>
    <row r="242" spans="1:17" x14ac:dyDescent="0.3">
      <c r="A242" t="s">
        <v>257</v>
      </c>
      <c r="B242" t="s">
        <v>267</v>
      </c>
      <c r="C242" t="s">
        <v>278</v>
      </c>
      <c r="D242" t="s">
        <v>557</v>
      </c>
      <c r="E242">
        <v>2</v>
      </c>
      <c r="F242">
        <v>1</v>
      </c>
      <c r="G242">
        <v>1877</v>
      </c>
      <c r="H242">
        <v>1966</v>
      </c>
      <c r="I242" s="2">
        <v>44626</v>
      </c>
      <c r="J242" t="s">
        <v>569</v>
      </c>
      <c r="K242" t="s">
        <v>574</v>
      </c>
      <c r="L242">
        <v>667774</v>
      </c>
      <c r="M242">
        <v>355.77</v>
      </c>
      <c r="N242">
        <v>5</v>
      </c>
      <c r="O242">
        <v>37.686999999999998</v>
      </c>
      <c r="P242">
        <v>-122.411</v>
      </c>
      <c r="Q242" t="s">
        <v>575</v>
      </c>
    </row>
    <row r="243" spans="1:17" x14ac:dyDescent="0.3">
      <c r="A243" t="s">
        <v>258</v>
      </c>
      <c r="B243" t="s">
        <v>267</v>
      </c>
      <c r="C243" t="s">
        <v>286</v>
      </c>
      <c r="D243" t="s">
        <v>558</v>
      </c>
      <c r="E243">
        <v>5</v>
      </c>
      <c r="F243">
        <v>5</v>
      </c>
      <c r="G243">
        <v>2886</v>
      </c>
      <c r="H243">
        <v>1984</v>
      </c>
      <c r="I243" s="2">
        <v>44070</v>
      </c>
      <c r="J243" t="s">
        <v>568</v>
      </c>
      <c r="K243" t="s">
        <v>571</v>
      </c>
      <c r="M243">
        <v>573.04</v>
      </c>
      <c r="N243">
        <v>29</v>
      </c>
      <c r="O243">
        <v>37.732999999999997</v>
      </c>
      <c r="P243">
        <v>-122.27</v>
      </c>
      <c r="Q243" t="s">
        <v>579</v>
      </c>
    </row>
    <row r="244" spans="1:17" x14ac:dyDescent="0.3">
      <c r="A244" t="s">
        <v>259</v>
      </c>
      <c r="B244" t="s">
        <v>269</v>
      </c>
      <c r="C244" t="s">
        <v>288</v>
      </c>
      <c r="D244" t="s">
        <v>559</v>
      </c>
      <c r="E244">
        <v>3</v>
      </c>
      <c r="F244">
        <v>3</v>
      </c>
      <c r="G244">
        <v>2105</v>
      </c>
      <c r="H244">
        <v>2020</v>
      </c>
      <c r="I244" s="2">
        <v>43658</v>
      </c>
      <c r="J244" t="s">
        <v>570</v>
      </c>
      <c r="K244" t="s">
        <v>573</v>
      </c>
      <c r="L244">
        <v>1180504</v>
      </c>
      <c r="M244">
        <v>560.80999999999995</v>
      </c>
      <c r="N244">
        <v>18</v>
      </c>
      <c r="O244">
        <v>39.661000000000001</v>
      </c>
      <c r="P244">
        <v>-105</v>
      </c>
      <c r="Q244" t="s">
        <v>576</v>
      </c>
    </row>
    <row r="245" spans="1:17" x14ac:dyDescent="0.3">
      <c r="A245" t="s">
        <v>260</v>
      </c>
      <c r="B245" t="s">
        <v>273</v>
      </c>
      <c r="C245" t="s">
        <v>286</v>
      </c>
      <c r="D245" t="s">
        <v>560</v>
      </c>
      <c r="E245">
        <v>2</v>
      </c>
      <c r="F245">
        <v>2</v>
      </c>
      <c r="G245">
        <v>1605</v>
      </c>
      <c r="H245">
        <v>1959</v>
      </c>
      <c r="I245" s="2">
        <v>43592</v>
      </c>
      <c r="J245" t="s">
        <v>566</v>
      </c>
      <c r="K245" t="s">
        <v>573</v>
      </c>
      <c r="L245">
        <v>909007</v>
      </c>
      <c r="M245">
        <v>566.36</v>
      </c>
      <c r="N245">
        <v>5</v>
      </c>
      <c r="O245">
        <v>45.557000000000002</v>
      </c>
      <c r="P245">
        <v>-122.61499999999999</v>
      </c>
      <c r="Q245" t="s">
        <v>579</v>
      </c>
    </row>
    <row r="246" spans="1:17" x14ac:dyDescent="0.3">
      <c r="A246" t="s">
        <v>261</v>
      </c>
      <c r="B246" t="s">
        <v>276</v>
      </c>
      <c r="C246" t="s">
        <v>317</v>
      </c>
      <c r="D246" t="s">
        <v>561</v>
      </c>
      <c r="E246">
        <v>2</v>
      </c>
      <c r="F246">
        <v>2</v>
      </c>
      <c r="G246">
        <v>1902</v>
      </c>
      <c r="H246">
        <v>1931</v>
      </c>
      <c r="I246" s="2">
        <v>44724</v>
      </c>
      <c r="J246" t="s">
        <v>570</v>
      </c>
      <c r="K246" t="s">
        <v>573</v>
      </c>
      <c r="L246">
        <v>748897</v>
      </c>
      <c r="M246">
        <v>393.74</v>
      </c>
      <c r="N246">
        <v>65</v>
      </c>
      <c r="O246">
        <v>41.84</v>
      </c>
      <c r="P246">
        <v>-87.555999999999997</v>
      </c>
      <c r="Q246" t="s">
        <v>575</v>
      </c>
    </row>
    <row r="247" spans="1:17" x14ac:dyDescent="0.3">
      <c r="A247" t="s">
        <v>262</v>
      </c>
      <c r="B247" t="s">
        <v>270</v>
      </c>
      <c r="C247" t="s">
        <v>281</v>
      </c>
      <c r="D247" t="s">
        <v>562</v>
      </c>
      <c r="E247">
        <v>5</v>
      </c>
      <c r="F247">
        <v>5</v>
      </c>
      <c r="G247">
        <v>2818</v>
      </c>
      <c r="H247">
        <v>1959</v>
      </c>
      <c r="I247" s="2">
        <v>43673</v>
      </c>
      <c r="J247" t="s">
        <v>566</v>
      </c>
      <c r="K247" t="s">
        <v>573</v>
      </c>
      <c r="L247">
        <v>1959278</v>
      </c>
      <c r="M247">
        <v>695.27</v>
      </c>
      <c r="N247">
        <v>64</v>
      </c>
      <c r="O247">
        <v>40.776000000000003</v>
      </c>
      <c r="P247">
        <v>-73.912999999999997</v>
      </c>
      <c r="Q247" t="s">
        <v>575</v>
      </c>
    </row>
    <row r="248" spans="1:17" x14ac:dyDescent="0.3">
      <c r="A248" t="s">
        <v>263</v>
      </c>
      <c r="B248" t="s">
        <v>269</v>
      </c>
      <c r="C248" t="s">
        <v>321</v>
      </c>
      <c r="D248" t="s">
        <v>497</v>
      </c>
      <c r="E248">
        <v>5</v>
      </c>
      <c r="F248">
        <v>5</v>
      </c>
      <c r="G248">
        <v>3116</v>
      </c>
      <c r="H248">
        <v>2017</v>
      </c>
      <c r="I248" s="2">
        <v>43190</v>
      </c>
      <c r="J248" t="s">
        <v>566</v>
      </c>
      <c r="K248" t="s">
        <v>573</v>
      </c>
      <c r="L248">
        <v>2138070</v>
      </c>
      <c r="M248">
        <v>686.16</v>
      </c>
      <c r="N248">
        <v>20</v>
      </c>
      <c r="O248">
        <v>39.768999999999998</v>
      </c>
      <c r="P248">
        <v>-104.928</v>
      </c>
    </row>
    <row r="249" spans="1:17" x14ac:dyDescent="0.3">
      <c r="A249" t="s">
        <v>264</v>
      </c>
      <c r="B249" t="s">
        <v>267</v>
      </c>
      <c r="C249" t="s">
        <v>278</v>
      </c>
      <c r="D249" t="s">
        <v>563</v>
      </c>
      <c r="E249">
        <v>4</v>
      </c>
      <c r="F249">
        <v>4</v>
      </c>
      <c r="G249">
        <v>2080</v>
      </c>
      <c r="H249">
        <v>2018</v>
      </c>
      <c r="I249" s="2">
        <v>44875</v>
      </c>
      <c r="J249" t="s">
        <v>569</v>
      </c>
      <c r="K249" t="s">
        <v>571</v>
      </c>
      <c r="L249">
        <v>1047210</v>
      </c>
      <c r="M249">
        <v>503.47</v>
      </c>
      <c r="N249">
        <v>35</v>
      </c>
      <c r="O249">
        <v>37.747</v>
      </c>
      <c r="P249">
        <v>-122.345</v>
      </c>
      <c r="Q249" t="s">
        <v>576</v>
      </c>
    </row>
    <row r="250" spans="1:17" x14ac:dyDescent="0.3">
      <c r="A250" t="s">
        <v>265</v>
      </c>
      <c r="B250" t="s">
        <v>271</v>
      </c>
      <c r="C250" t="s">
        <v>313</v>
      </c>
      <c r="D250" t="s">
        <v>564</v>
      </c>
      <c r="E250">
        <v>4</v>
      </c>
      <c r="F250">
        <v>3</v>
      </c>
      <c r="G250">
        <v>2529</v>
      </c>
      <c r="H250">
        <v>1904</v>
      </c>
      <c r="J250" t="s">
        <v>569</v>
      </c>
      <c r="K250" t="s">
        <v>571</v>
      </c>
      <c r="L250">
        <v>1389586</v>
      </c>
      <c r="M250">
        <v>549.46</v>
      </c>
      <c r="N250">
        <v>40</v>
      </c>
      <c r="O250">
        <v>42.37</v>
      </c>
      <c r="P250">
        <v>-71.147999999999996</v>
      </c>
      <c r="Q250" t="s">
        <v>576</v>
      </c>
    </row>
    <row r="251" spans="1:17" x14ac:dyDescent="0.3">
      <c r="A251" t="s">
        <v>266</v>
      </c>
      <c r="B251" t="s">
        <v>272</v>
      </c>
      <c r="C251" t="s">
        <v>298</v>
      </c>
      <c r="D251" t="s">
        <v>565</v>
      </c>
      <c r="E251">
        <v>5</v>
      </c>
      <c r="G251">
        <v>2511</v>
      </c>
      <c r="H251">
        <v>2002</v>
      </c>
      <c r="I251" s="2">
        <v>43180</v>
      </c>
      <c r="J251" t="s">
        <v>569</v>
      </c>
      <c r="K251" t="s">
        <v>572</v>
      </c>
      <c r="L251">
        <v>1637735</v>
      </c>
      <c r="M251">
        <v>652.22</v>
      </c>
      <c r="N251">
        <v>7</v>
      </c>
      <c r="O251">
        <v>25.731999999999999</v>
      </c>
      <c r="P251">
        <v>-80.180999999999997</v>
      </c>
      <c r="Q251" t="s">
        <v>578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748F9-E15E-4602-AADA-40A25435B089}">
  <dimension ref="A1:Q251"/>
  <sheetViews>
    <sheetView workbookViewId="0">
      <selection sqref="A1:Q251"/>
    </sheetView>
  </sheetViews>
  <sheetFormatPr defaultRowHeight="14.4" x14ac:dyDescent="0.3"/>
  <cols>
    <col min="1" max="1" width="8.109375" bestFit="1" customWidth="1"/>
    <col min="2" max="2" width="12" bestFit="1" customWidth="1"/>
    <col min="3" max="3" width="14.77734375" bestFit="1" customWidth="1"/>
    <col min="4" max="4" width="12.109375" bestFit="1" customWidth="1"/>
    <col min="5" max="5" width="9.5546875" bestFit="1" customWidth="1"/>
    <col min="6" max="6" width="10.21875" bestFit="1" customWidth="1"/>
    <col min="7" max="7" width="9.109375" bestFit="1" customWidth="1"/>
    <col min="8" max="8" width="9.44140625" bestFit="1" customWidth="1"/>
    <col min="9" max="9" width="10.33203125" bestFit="1" customWidth="1"/>
    <col min="10" max="10" width="13.5546875" bestFit="1" customWidth="1"/>
    <col min="11" max="11" width="16" bestFit="1" customWidth="1"/>
    <col min="12" max="12" width="9.6640625" bestFit="1" customWidth="1"/>
    <col min="13" max="13" width="13.21875" bestFit="1" customWidth="1"/>
    <col min="14" max="14" width="15.44140625" bestFit="1" customWidth="1"/>
    <col min="15" max="15" width="7.88671875" bestFit="1" customWidth="1"/>
    <col min="16" max="16" width="9.44140625" bestFit="1" customWidth="1"/>
    <col min="17" max="17" width="23.4414062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267</v>
      </c>
      <c r="C2" t="s">
        <v>278</v>
      </c>
      <c r="D2" t="s">
        <v>324</v>
      </c>
      <c r="E2">
        <v>3</v>
      </c>
      <c r="F2">
        <v>3</v>
      </c>
      <c r="G2">
        <v>2224</v>
      </c>
      <c r="H2">
        <v>1917</v>
      </c>
      <c r="I2" s="2">
        <v>45334</v>
      </c>
      <c r="J2" t="s">
        <v>566</v>
      </c>
      <c r="K2" t="s">
        <v>571</v>
      </c>
      <c r="L2">
        <v>1018653</v>
      </c>
      <c r="M2">
        <v>458.03</v>
      </c>
      <c r="N2">
        <v>54</v>
      </c>
      <c r="O2">
        <v>37.676000000000002</v>
      </c>
      <c r="P2">
        <v>-122.411</v>
      </c>
      <c r="Q2" t="s">
        <v>575</v>
      </c>
    </row>
    <row r="3" spans="1:17" x14ac:dyDescent="0.3">
      <c r="A3" t="s">
        <v>18</v>
      </c>
      <c r="B3" t="s">
        <v>268</v>
      </c>
      <c r="C3" t="s">
        <v>279</v>
      </c>
      <c r="D3" t="s">
        <v>325</v>
      </c>
      <c r="E3">
        <v>2</v>
      </c>
      <c r="F3">
        <v>1</v>
      </c>
      <c r="G3">
        <v>2181</v>
      </c>
      <c r="H3">
        <v>1989</v>
      </c>
      <c r="I3" s="2">
        <v>44819</v>
      </c>
      <c r="J3" t="s">
        <v>567</v>
      </c>
      <c r="K3" t="s">
        <v>571</v>
      </c>
      <c r="L3">
        <v>868484</v>
      </c>
      <c r="M3">
        <v>398.2</v>
      </c>
      <c r="N3">
        <v>27</v>
      </c>
      <c r="O3">
        <v>47.555999999999997</v>
      </c>
      <c r="P3">
        <v>-122.256</v>
      </c>
      <c r="Q3" t="s">
        <v>575</v>
      </c>
    </row>
    <row r="4" spans="1:17" x14ac:dyDescent="0.3">
      <c r="A4" t="s">
        <v>19</v>
      </c>
      <c r="B4" t="s">
        <v>269</v>
      </c>
      <c r="C4" t="s">
        <v>280</v>
      </c>
      <c r="D4" t="s">
        <v>326</v>
      </c>
      <c r="E4">
        <v>2</v>
      </c>
      <c r="F4">
        <v>2</v>
      </c>
      <c r="G4">
        <v>2195</v>
      </c>
      <c r="H4">
        <v>1997</v>
      </c>
      <c r="I4" s="2">
        <v>43519</v>
      </c>
      <c r="J4" t="s">
        <v>566</v>
      </c>
      <c r="K4" t="s">
        <v>571</v>
      </c>
      <c r="L4">
        <v>1167604</v>
      </c>
      <c r="M4">
        <v>531.94000000000005</v>
      </c>
      <c r="N4">
        <v>20</v>
      </c>
      <c r="O4">
        <v>39.712000000000003</v>
      </c>
      <c r="P4">
        <v>-105.021</v>
      </c>
      <c r="Q4" t="s">
        <v>576</v>
      </c>
    </row>
    <row r="5" spans="1:17" x14ac:dyDescent="0.3">
      <c r="A5" t="s">
        <v>20</v>
      </c>
      <c r="B5" t="s">
        <v>270</v>
      </c>
      <c r="C5" t="s">
        <v>281</v>
      </c>
      <c r="D5" t="s">
        <v>327</v>
      </c>
      <c r="E5">
        <v>1</v>
      </c>
      <c r="F5">
        <v>1</v>
      </c>
      <c r="G5">
        <v>1636</v>
      </c>
      <c r="H5">
        <v>1948</v>
      </c>
      <c r="I5" s="2">
        <v>45362</v>
      </c>
      <c r="J5" t="s">
        <v>568</v>
      </c>
      <c r="K5" t="s">
        <v>572</v>
      </c>
      <c r="L5">
        <v>755720</v>
      </c>
      <c r="M5">
        <v>461.93</v>
      </c>
      <c r="N5">
        <v>21</v>
      </c>
      <c r="O5">
        <v>40.734000000000002</v>
      </c>
      <c r="P5">
        <v>-73.938000000000002</v>
      </c>
      <c r="Q5" t="s">
        <v>577</v>
      </c>
    </row>
    <row r="6" spans="1:17" x14ac:dyDescent="0.3">
      <c r="A6" t="s">
        <v>21</v>
      </c>
      <c r="B6" t="s">
        <v>268</v>
      </c>
      <c r="C6" t="s">
        <v>282</v>
      </c>
      <c r="D6" t="s">
        <v>328</v>
      </c>
      <c r="E6">
        <v>3</v>
      </c>
      <c r="G6">
        <v>2160</v>
      </c>
      <c r="H6">
        <v>2009</v>
      </c>
      <c r="I6" s="2">
        <v>43514</v>
      </c>
      <c r="J6" t="s">
        <v>569</v>
      </c>
      <c r="K6" t="s">
        <v>571</v>
      </c>
      <c r="L6">
        <v>800936</v>
      </c>
      <c r="M6">
        <v>370.8</v>
      </c>
      <c r="N6">
        <v>16</v>
      </c>
      <c r="O6">
        <v>47.627000000000002</v>
      </c>
      <c r="P6">
        <v>-122.357</v>
      </c>
      <c r="Q6" t="s">
        <v>576</v>
      </c>
    </row>
    <row r="7" spans="1:17" x14ac:dyDescent="0.3">
      <c r="A7" t="s">
        <v>22</v>
      </c>
      <c r="B7" t="s">
        <v>271</v>
      </c>
      <c r="C7" t="s">
        <v>283</v>
      </c>
      <c r="D7" t="s">
        <v>329</v>
      </c>
      <c r="E7">
        <v>5</v>
      </c>
      <c r="F7">
        <v>4</v>
      </c>
      <c r="G7">
        <v>2559</v>
      </c>
      <c r="H7">
        <v>1968</v>
      </c>
      <c r="I7" s="2">
        <v>43770</v>
      </c>
      <c r="J7" t="s">
        <v>569</v>
      </c>
      <c r="K7" t="s">
        <v>571</v>
      </c>
      <c r="L7">
        <v>1503294</v>
      </c>
      <c r="M7">
        <v>587.45000000000005</v>
      </c>
      <c r="N7">
        <v>44</v>
      </c>
      <c r="O7">
        <v>42.457999999999998</v>
      </c>
      <c r="P7">
        <v>-71.031999999999996</v>
      </c>
      <c r="Q7" t="s">
        <v>577</v>
      </c>
    </row>
    <row r="8" spans="1:17" x14ac:dyDescent="0.3">
      <c r="A8" t="s">
        <v>23</v>
      </c>
      <c r="B8" t="s">
        <v>268</v>
      </c>
      <c r="C8" t="s">
        <v>282</v>
      </c>
      <c r="D8" t="s">
        <v>330</v>
      </c>
      <c r="E8">
        <v>1</v>
      </c>
      <c r="F8">
        <v>1</v>
      </c>
      <c r="G8">
        <v>1273</v>
      </c>
      <c r="H8">
        <v>1951</v>
      </c>
      <c r="I8" s="2">
        <v>43372</v>
      </c>
      <c r="J8" t="s">
        <v>567</v>
      </c>
      <c r="K8" t="s">
        <v>572</v>
      </c>
      <c r="L8">
        <v>371808</v>
      </c>
      <c r="M8">
        <v>292.07</v>
      </c>
      <c r="N8">
        <v>78</v>
      </c>
      <c r="O8">
        <v>47.613</v>
      </c>
      <c r="P8">
        <v>-122.286</v>
      </c>
      <c r="Q8" t="s">
        <v>575</v>
      </c>
    </row>
    <row r="9" spans="1:17" x14ac:dyDescent="0.3">
      <c r="A9" t="s">
        <v>24</v>
      </c>
      <c r="B9" t="s">
        <v>272</v>
      </c>
      <c r="C9" t="s">
        <v>284</v>
      </c>
      <c r="D9" t="s">
        <v>331</v>
      </c>
      <c r="E9">
        <v>2</v>
      </c>
      <c r="F9">
        <v>2</v>
      </c>
      <c r="G9">
        <v>1744</v>
      </c>
      <c r="H9">
        <v>1931</v>
      </c>
      <c r="I9" s="2">
        <v>45308</v>
      </c>
      <c r="J9" t="s">
        <v>568</v>
      </c>
      <c r="K9" t="s">
        <v>572</v>
      </c>
      <c r="L9">
        <v>928901</v>
      </c>
      <c r="M9">
        <v>532.63</v>
      </c>
      <c r="N9">
        <v>7</v>
      </c>
      <c r="O9">
        <v>25.745999999999999</v>
      </c>
      <c r="P9">
        <v>-80.173000000000002</v>
      </c>
      <c r="Q9" t="s">
        <v>576</v>
      </c>
    </row>
    <row r="10" spans="1:17" x14ac:dyDescent="0.3">
      <c r="A10" t="s">
        <v>25</v>
      </c>
      <c r="B10" t="s">
        <v>273</v>
      </c>
      <c r="C10" t="s">
        <v>285</v>
      </c>
      <c r="D10" t="s">
        <v>332</v>
      </c>
      <c r="E10">
        <v>1</v>
      </c>
      <c r="F10">
        <v>1</v>
      </c>
      <c r="G10">
        <v>1364</v>
      </c>
      <c r="H10">
        <v>2010</v>
      </c>
      <c r="I10" s="2">
        <v>43727</v>
      </c>
      <c r="J10" t="s">
        <v>567</v>
      </c>
      <c r="K10" t="s">
        <v>572</v>
      </c>
      <c r="L10">
        <v>688281</v>
      </c>
      <c r="M10">
        <v>504.6</v>
      </c>
      <c r="N10">
        <v>0</v>
      </c>
      <c r="O10">
        <v>45.503999999999998</v>
      </c>
      <c r="P10">
        <v>-122.767</v>
      </c>
      <c r="Q10" t="s">
        <v>578</v>
      </c>
    </row>
    <row r="11" spans="1:17" x14ac:dyDescent="0.3">
      <c r="A11" t="s">
        <v>26</v>
      </c>
      <c r="B11" t="s">
        <v>273</v>
      </c>
      <c r="C11" t="s">
        <v>286</v>
      </c>
      <c r="D11" t="s">
        <v>333</v>
      </c>
      <c r="E11">
        <v>5</v>
      </c>
      <c r="F11">
        <v>4</v>
      </c>
      <c r="G11">
        <v>2794</v>
      </c>
      <c r="H11">
        <v>1901</v>
      </c>
      <c r="I11" s="2">
        <v>45300</v>
      </c>
      <c r="J11" t="s">
        <v>568</v>
      </c>
      <c r="K11" t="s">
        <v>572</v>
      </c>
      <c r="L11">
        <v>1904191</v>
      </c>
      <c r="M11">
        <v>681.53</v>
      </c>
      <c r="N11">
        <v>26</v>
      </c>
      <c r="O11">
        <v>45.488</v>
      </c>
      <c r="P11">
        <v>-122.721</v>
      </c>
      <c r="Q11" t="s">
        <v>575</v>
      </c>
    </row>
    <row r="12" spans="1:17" x14ac:dyDescent="0.3">
      <c r="A12" t="s">
        <v>27</v>
      </c>
      <c r="B12" t="s">
        <v>271</v>
      </c>
      <c r="C12" t="s">
        <v>287</v>
      </c>
      <c r="D12" t="s">
        <v>334</v>
      </c>
      <c r="E12">
        <v>2</v>
      </c>
      <c r="F12">
        <v>2</v>
      </c>
      <c r="G12">
        <v>1650</v>
      </c>
      <c r="H12">
        <v>1913</v>
      </c>
      <c r="I12" s="2">
        <v>45180</v>
      </c>
      <c r="J12" t="s">
        <v>570</v>
      </c>
      <c r="K12" t="s">
        <v>573</v>
      </c>
      <c r="M12">
        <v>553.73</v>
      </c>
      <c r="N12">
        <v>34</v>
      </c>
      <c r="O12">
        <v>42.335000000000001</v>
      </c>
      <c r="P12">
        <v>-71.128</v>
      </c>
      <c r="Q12" t="s">
        <v>577</v>
      </c>
    </row>
    <row r="13" spans="1:17" x14ac:dyDescent="0.3">
      <c r="A13" t="s">
        <v>28</v>
      </c>
      <c r="B13" t="s">
        <v>269</v>
      </c>
      <c r="C13" t="s">
        <v>288</v>
      </c>
      <c r="D13" t="s">
        <v>335</v>
      </c>
      <c r="E13">
        <v>1</v>
      </c>
      <c r="F13">
        <v>1</v>
      </c>
      <c r="G13">
        <v>1236</v>
      </c>
      <c r="H13">
        <v>1946</v>
      </c>
      <c r="I13" s="2">
        <v>44081</v>
      </c>
      <c r="J13" t="s">
        <v>566</v>
      </c>
      <c r="K13" t="s">
        <v>573</v>
      </c>
      <c r="L13">
        <v>597141</v>
      </c>
      <c r="M13">
        <v>483.12</v>
      </c>
      <c r="N13">
        <v>1</v>
      </c>
      <c r="O13">
        <v>39.753</v>
      </c>
      <c r="P13">
        <v>-105.074</v>
      </c>
      <c r="Q13" t="s">
        <v>579</v>
      </c>
    </row>
    <row r="14" spans="1:17" x14ac:dyDescent="0.3">
      <c r="A14" t="s">
        <v>29</v>
      </c>
      <c r="B14" t="s">
        <v>273</v>
      </c>
      <c r="C14" t="s">
        <v>289</v>
      </c>
      <c r="D14" t="s">
        <v>336</v>
      </c>
      <c r="E14">
        <v>2</v>
      </c>
      <c r="F14">
        <v>1</v>
      </c>
      <c r="G14">
        <v>1852</v>
      </c>
      <c r="H14">
        <v>1970</v>
      </c>
      <c r="I14" s="2">
        <v>44186</v>
      </c>
      <c r="J14" t="s">
        <v>570</v>
      </c>
      <c r="K14" t="s">
        <v>572</v>
      </c>
      <c r="L14">
        <v>883485</v>
      </c>
      <c r="M14">
        <v>477.04</v>
      </c>
      <c r="N14">
        <v>4</v>
      </c>
      <c r="O14">
        <v>45.505000000000003</v>
      </c>
      <c r="P14">
        <v>-122.738</v>
      </c>
      <c r="Q14" t="s">
        <v>577</v>
      </c>
    </row>
    <row r="15" spans="1:17" x14ac:dyDescent="0.3">
      <c r="A15" t="s">
        <v>30</v>
      </c>
      <c r="B15" t="s">
        <v>271</v>
      </c>
      <c r="C15" t="s">
        <v>290</v>
      </c>
      <c r="D15" t="s">
        <v>337</v>
      </c>
      <c r="E15">
        <v>3</v>
      </c>
      <c r="F15">
        <v>3</v>
      </c>
      <c r="G15">
        <v>2149</v>
      </c>
      <c r="H15">
        <v>1966</v>
      </c>
      <c r="I15" s="2">
        <v>43596</v>
      </c>
      <c r="J15" t="s">
        <v>567</v>
      </c>
      <c r="K15" t="s">
        <v>573</v>
      </c>
      <c r="L15">
        <v>1213028</v>
      </c>
      <c r="M15">
        <v>564.46</v>
      </c>
      <c r="N15">
        <v>40</v>
      </c>
      <c r="O15">
        <v>42.328000000000003</v>
      </c>
      <c r="P15">
        <v>-71.042000000000002</v>
      </c>
      <c r="Q15" t="s">
        <v>575</v>
      </c>
    </row>
    <row r="16" spans="1:17" x14ac:dyDescent="0.3">
      <c r="A16" t="s">
        <v>31</v>
      </c>
      <c r="B16" t="s">
        <v>268</v>
      </c>
      <c r="C16" t="s">
        <v>291</v>
      </c>
      <c r="D16" t="s">
        <v>338</v>
      </c>
      <c r="E16">
        <v>1</v>
      </c>
      <c r="F16">
        <v>1</v>
      </c>
      <c r="G16">
        <v>1471</v>
      </c>
      <c r="H16">
        <v>2015</v>
      </c>
      <c r="I16" s="2">
        <v>44454</v>
      </c>
      <c r="J16" t="s">
        <v>566</v>
      </c>
      <c r="K16" t="s">
        <v>571</v>
      </c>
      <c r="L16">
        <v>479256</v>
      </c>
      <c r="M16">
        <v>325.8</v>
      </c>
      <c r="N16">
        <v>9</v>
      </c>
      <c r="O16">
        <v>47.555999999999997</v>
      </c>
      <c r="P16">
        <v>-122.333</v>
      </c>
      <c r="Q16" t="s">
        <v>577</v>
      </c>
    </row>
    <row r="17" spans="1:17" x14ac:dyDescent="0.3">
      <c r="A17" t="s">
        <v>32</v>
      </c>
      <c r="B17" t="s">
        <v>274</v>
      </c>
      <c r="C17" t="s">
        <v>292</v>
      </c>
      <c r="D17" t="s">
        <v>339</v>
      </c>
      <c r="E17">
        <v>2</v>
      </c>
      <c r="F17">
        <v>1</v>
      </c>
      <c r="G17">
        <v>1620</v>
      </c>
      <c r="H17">
        <v>2003</v>
      </c>
      <c r="I17" s="2">
        <v>43880</v>
      </c>
      <c r="J17" t="s">
        <v>566</v>
      </c>
      <c r="K17" t="s">
        <v>573</v>
      </c>
      <c r="L17">
        <v>917117</v>
      </c>
      <c r="M17">
        <v>566.12</v>
      </c>
      <c r="N17">
        <v>66</v>
      </c>
      <c r="O17">
        <v>34.036000000000001</v>
      </c>
      <c r="P17">
        <v>-118.255</v>
      </c>
      <c r="Q17" t="s">
        <v>578</v>
      </c>
    </row>
    <row r="18" spans="1:17" x14ac:dyDescent="0.3">
      <c r="A18" t="s">
        <v>33</v>
      </c>
      <c r="B18" t="s">
        <v>267</v>
      </c>
      <c r="C18" t="s">
        <v>278</v>
      </c>
      <c r="D18" t="s">
        <v>340</v>
      </c>
      <c r="E18">
        <v>4</v>
      </c>
      <c r="F18">
        <v>3</v>
      </c>
      <c r="G18">
        <v>2486</v>
      </c>
      <c r="H18">
        <v>2002</v>
      </c>
      <c r="I18" s="2">
        <v>44119</v>
      </c>
      <c r="J18" t="s">
        <v>567</v>
      </c>
      <c r="K18" t="s">
        <v>573</v>
      </c>
      <c r="L18">
        <v>1103375</v>
      </c>
      <c r="M18">
        <v>443.84</v>
      </c>
      <c r="N18">
        <v>44</v>
      </c>
      <c r="O18">
        <v>37.76</v>
      </c>
      <c r="P18">
        <v>-122.346</v>
      </c>
      <c r="Q18" t="s">
        <v>576</v>
      </c>
    </row>
    <row r="19" spans="1:17" x14ac:dyDescent="0.3">
      <c r="A19" t="s">
        <v>34</v>
      </c>
      <c r="B19" t="s">
        <v>267</v>
      </c>
      <c r="C19" t="s">
        <v>293</v>
      </c>
      <c r="D19" t="s">
        <v>341</v>
      </c>
      <c r="E19">
        <v>5</v>
      </c>
      <c r="F19">
        <v>5</v>
      </c>
      <c r="G19">
        <v>2604</v>
      </c>
      <c r="H19">
        <v>1983</v>
      </c>
      <c r="I19" s="2">
        <v>43161</v>
      </c>
      <c r="J19" t="s">
        <v>566</v>
      </c>
      <c r="K19" t="s">
        <v>572</v>
      </c>
      <c r="L19">
        <v>1429399</v>
      </c>
      <c r="M19">
        <v>548.91999999999996</v>
      </c>
      <c r="N19">
        <v>53</v>
      </c>
      <c r="O19">
        <v>37.840000000000003</v>
      </c>
      <c r="P19">
        <v>-122.39700000000001</v>
      </c>
      <c r="Q19" t="s">
        <v>578</v>
      </c>
    </row>
    <row r="20" spans="1:17" x14ac:dyDescent="0.3">
      <c r="A20" t="s">
        <v>35</v>
      </c>
      <c r="B20" t="s">
        <v>272</v>
      </c>
      <c r="C20" t="s">
        <v>294</v>
      </c>
      <c r="D20" t="s">
        <v>342</v>
      </c>
      <c r="E20">
        <v>2</v>
      </c>
      <c r="F20">
        <v>2</v>
      </c>
      <c r="G20">
        <v>2058</v>
      </c>
      <c r="H20">
        <v>1949</v>
      </c>
      <c r="I20" s="2">
        <v>44964</v>
      </c>
      <c r="J20" t="s">
        <v>568</v>
      </c>
      <c r="K20" t="s">
        <v>571</v>
      </c>
      <c r="L20">
        <v>1143686</v>
      </c>
      <c r="M20">
        <v>555.73</v>
      </c>
      <c r="N20">
        <v>9</v>
      </c>
      <c r="O20">
        <v>25.850999999999999</v>
      </c>
      <c r="P20">
        <v>-80.090999999999994</v>
      </c>
      <c r="Q20" t="s">
        <v>577</v>
      </c>
    </row>
    <row r="21" spans="1:17" x14ac:dyDescent="0.3">
      <c r="A21" t="s">
        <v>36</v>
      </c>
      <c r="B21" t="s">
        <v>275</v>
      </c>
      <c r="C21" t="s">
        <v>295</v>
      </c>
      <c r="D21" t="s">
        <v>343</v>
      </c>
      <c r="E21">
        <v>3</v>
      </c>
      <c r="F21">
        <v>3</v>
      </c>
      <c r="G21">
        <v>2023</v>
      </c>
      <c r="H21">
        <v>1907</v>
      </c>
      <c r="I21" s="2">
        <v>45321</v>
      </c>
      <c r="J21" t="s">
        <v>566</v>
      </c>
      <c r="K21" t="s">
        <v>572</v>
      </c>
      <c r="L21">
        <v>1035526</v>
      </c>
      <c r="M21">
        <v>511.88</v>
      </c>
      <c r="N21">
        <v>64</v>
      </c>
      <c r="O21">
        <v>30.181000000000001</v>
      </c>
      <c r="P21">
        <v>-97.722999999999999</v>
      </c>
      <c r="Q21" t="s">
        <v>577</v>
      </c>
    </row>
    <row r="22" spans="1:17" x14ac:dyDescent="0.3">
      <c r="A22" t="s">
        <v>37</v>
      </c>
      <c r="B22" t="s">
        <v>275</v>
      </c>
      <c r="C22" t="s">
        <v>296</v>
      </c>
      <c r="D22" t="s">
        <v>344</v>
      </c>
      <c r="E22">
        <v>5</v>
      </c>
      <c r="F22">
        <v>5</v>
      </c>
      <c r="G22">
        <v>2580</v>
      </c>
      <c r="H22">
        <v>1923</v>
      </c>
      <c r="I22" s="2">
        <v>45538</v>
      </c>
      <c r="J22" t="s">
        <v>566</v>
      </c>
      <c r="K22" t="s">
        <v>571</v>
      </c>
      <c r="L22">
        <v>1488630</v>
      </c>
      <c r="M22">
        <v>576.99</v>
      </c>
      <c r="N22">
        <v>1</v>
      </c>
      <c r="O22">
        <v>30.216999999999999</v>
      </c>
      <c r="P22">
        <v>-97.816000000000003</v>
      </c>
      <c r="Q22" t="s">
        <v>577</v>
      </c>
    </row>
    <row r="23" spans="1:17" x14ac:dyDescent="0.3">
      <c r="A23" t="s">
        <v>38</v>
      </c>
      <c r="B23" t="s">
        <v>274</v>
      </c>
      <c r="C23" t="s">
        <v>297</v>
      </c>
      <c r="D23" t="s">
        <v>345</v>
      </c>
      <c r="E23">
        <v>5</v>
      </c>
      <c r="F23">
        <v>5</v>
      </c>
      <c r="G23">
        <v>2401</v>
      </c>
      <c r="H23">
        <v>1984</v>
      </c>
      <c r="I23" s="2">
        <v>45416</v>
      </c>
      <c r="J23" t="s">
        <v>570</v>
      </c>
      <c r="K23" t="s">
        <v>571</v>
      </c>
      <c r="L23">
        <v>1850214</v>
      </c>
      <c r="M23">
        <v>770.6</v>
      </c>
      <c r="N23">
        <v>75</v>
      </c>
      <c r="O23">
        <v>34.002000000000002</v>
      </c>
      <c r="P23">
        <v>-118.206</v>
      </c>
      <c r="Q23" t="s">
        <v>576</v>
      </c>
    </row>
    <row r="24" spans="1:17" x14ac:dyDescent="0.3">
      <c r="A24" t="s">
        <v>39</v>
      </c>
      <c r="B24" t="s">
        <v>272</v>
      </c>
      <c r="C24" t="s">
        <v>298</v>
      </c>
      <c r="D24" t="s">
        <v>346</v>
      </c>
      <c r="E24">
        <v>3</v>
      </c>
      <c r="F24">
        <v>3</v>
      </c>
      <c r="G24">
        <v>2082</v>
      </c>
      <c r="H24">
        <v>2018</v>
      </c>
      <c r="I24" s="2">
        <v>43139</v>
      </c>
      <c r="J24" t="s">
        <v>569</v>
      </c>
      <c r="K24" t="s">
        <v>571</v>
      </c>
      <c r="L24">
        <v>1254774</v>
      </c>
      <c r="M24">
        <v>602.67999999999995</v>
      </c>
      <c r="N24">
        <v>45</v>
      </c>
      <c r="O24">
        <v>25.773</v>
      </c>
      <c r="P24">
        <v>-80.27</v>
      </c>
      <c r="Q24" t="s">
        <v>577</v>
      </c>
    </row>
    <row r="25" spans="1:17" x14ac:dyDescent="0.3">
      <c r="A25" t="s">
        <v>40</v>
      </c>
      <c r="B25" t="s">
        <v>271</v>
      </c>
      <c r="C25" t="s">
        <v>299</v>
      </c>
      <c r="D25" t="s">
        <v>347</v>
      </c>
      <c r="E25">
        <v>3</v>
      </c>
      <c r="F25">
        <v>2</v>
      </c>
      <c r="G25">
        <v>1939</v>
      </c>
      <c r="H25">
        <v>2012</v>
      </c>
      <c r="I25" s="2">
        <v>44614</v>
      </c>
      <c r="J25" t="s">
        <v>568</v>
      </c>
      <c r="K25" t="s">
        <v>573</v>
      </c>
      <c r="L25">
        <v>1050825</v>
      </c>
      <c r="M25">
        <v>541.94000000000005</v>
      </c>
      <c r="N25">
        <v>81</v>
      </c>
      <c r="O25">
        <v>42.427</v>
      </c>
      <c r="P25">
        <v>-71.019000000000005</v>
      </c>
      <c r="Q25" t="s">
        <v>577</v>
      </c>
    </row>
    <row r="26" spans="1:17" x14ac:dyDescent="0.3">
      <c r="A26" t="s">
        <v>41</v>
      </c>
      <c r="B26" t="s">
        <v>268</v>
      </c>
      <c r="C26" t="s">
        <v>279</v>
      </c>
      <c r="D26" t="s">
        <v>348</v>
      </c>
      <c r="E26">
        <v>3</v>
      </c>
      <c r="F26">
        <v>2</v>
      </c>
      <c r="G26">
        <v>2091</v>
      </c>
      <c r="H26">
        <v>1913</v>
      </c>
      <c r="I26" s="2">
        <v>44184</v>
      </c>
      <c r="J26" t="s">
        <v>566</v>
      </c>
      <c r="K26" t="s">
        <v>572</v>
      </c>
      <c r="L26">
        <v>1061483</v>
      </c>
      <c r="M26">
        <v>507.64</v>
      </c>
      <c r="N26">
        <v>43</v>
      </c>
      <c r="O26">
        <v>47.648000000000003</v>
      </c>
      <c r="P26">
        <v>-122.399</v>
      </c>
      <c r="Q26" t="s">
        <v>576</v>
      </c>
    </row>
    <row r="27" spans="1:17" x14ac:dyDescent="0.3">
      <c r="A27" t="s">
        <v>42</v>
      </c>
      <c r="B27" t="s">
        <v>269</v>
      </c>
      <c r="C27" t="s">
        <v>291</v>
      </c>
      <c r="D27" t="s">
        <v>349</v>
      </c>
      <c r="E27">
        <v>3</v>
      </c>
      <c r="F27">
        <v>3</v>
      </c>
      <c r="G27">
        <v>2305</v>
      </c>
      <c r="H27">
        <v>1932</v>
      </c>
      <c r="I27" s="2">
        <v>43479</v>
      </c>
      <c r="J27" t="s">
        <v>569</v>
      </c>
      <c r="K27" t="s">
        <v>572</v>
      </c>
      <c r="L27">
        <v>1257994</v>
      </c>
      <c r="M27">
        <v>545.77</v>
      </c>
      <c r="N27">
        <v>26</v>
      </c>
      <c r="O27">
        <v>39.649000000000001</v>
      </c>
      <c r="P27">
        <v>-105.023</v>
      </c>
      <c r="Q27" t="s">
        <v>575</v>
      </c>
    </row>
    <row r="28" spans="1:17" x14ac:dyDescent="0.3">
      <c r="A28" t="s">
        <v>43</v>
      </c>
      <c r="B28" t="s">
        <v>275</v>
      </c>
      <c r="D28" t="s">
        <v>350</v>
      </c>
      <c r="E28">
        <v>5</v>
      </c>
      <c r="F28">
        <v>4</v>
      </c>
      <c r="G28">
        <v>2723</v>
      </c>
      <c r="H28">
        <v>1971</v>
      </c>
      <c r="I28" s="2">
        <v>43559</v>
      </c>
      <c r="J28" t="s">
        <v>566</v>
      </c>
      <c r="K28" t="s">
        <v>572</v>
      </c>
      <c r="L28">
        <v>1369363</v>
      </c>
      <c r="M28">
        <v>502.89</v>
      </c>
      <c r="N28">
        <v>28</v>
      </c>
      <c r="O28">
        <v>30.308</v>
      </c>
      <c r="P28">
        <v>-97.81</v>
      </c>
    </row>
    <row r="29" spans="1:17" x14ac:dyDescent="0.3">
      <c r="A29" t="s">
        <v>44</v>
      </c>
      <c r="B29" t="s">
        <v>274</v>
      </c>
      <c r="C29" t="s">
        <v>296</v>
      </c>
      <c r="D29" t="s">
        <v>351</v>
      </c>
      <c r="E29">
        <v>2</v>
      </c>
      <c r="F29">
        <v>2</v>
      </c>
      <c r="G29">
        <v>1889</v>
      </c>
      <c r="H29">
        <v>1905</v>
      </c>
      <c r="I29" s="2">
        <v>44594</v>
      </c>
      <c r="J29" t="s">
        <v>566</v>
      </c>
      <c r="K29" t="s">
        <v>572</v>
      </c>
      <c r="L29">
        <v>1207273</v>
      </c>
      <c r="M29">
        <v>639.11</v>
      </c>
      <c r="N29">
        <v>19</v>
      </c>
      <c r="O29">
        <v>33.991999999999997</v>
      </c>
      <c r="P29">
        <v>-118.29</v>
      </c>
    </row>
    <row r="30" spans="1:17" x14ac:dyDescent="0.3">
      <c r="A30" t="s">
        <v>45</v>
      </c>
      <c r="B30" t="s">
        <v>272</v>
      </c>
      <c r="C30" t="s">
        <v>300</v>
      </c>
      <c r="D30" t="s">
        <v>352</v>
      </c>
      <c r="E30">
        <v>2</v>
      </c>
      <c r="F30">
        <v>1</v>
      </c>
      <c r="G30">
        <v>1598</v>
      </c>
      <c r="H30">
        <v>1930</v>
      </c>
      <c r="I30" s="2">
        <v>43826</v>
      </c>
      <c r="J30" t="s">
        <v>569</v>
      </c>
      <c r="K30" t="s">
        <v>573</v>
      </c>
      <c r="L30">
        <v>789649</v>
      </c>
      <c r="M30">
        <v>494.15</v>
      </c>
      <c r="N30">
        <v>62</v>
      </c>
      <c r="O30">
        <v>25.806999999999999</v>
      </c>
      <c r="P30">
        <v>-80.224000000000004</v>
      </c>
      <c r="Q30" t="s">
        <v>578</v>
      </c>
    </row>
    <row r="31" spans="1:17" x14ac:dyDescent="0.3">
      <c r="A31" t="s">
        <v>46</v>
      </c>
      <c r="B31" t="s">
        <v>271</v>
      </c>
      <c r="C31" t="s">
        <v>299</v>
      </c>
      <c r="D31" t="s">
        <v>353</v>
      </c>
      <c r="E31">
        <v>1</v>
      </c>
      <c r="F31">
        <v>1</v>
      </c>
      <c r="G31">
        <v>1582</v>
      </c>
      <c r="H31">
        <v>1904</v>
      </c>
      <c r="I31" s="2">
        <v>44012</v>
      </c>
      <c r="J31" t="s">
        <v>567</v>
      </c>
      <c r="K31" t="s">
        <v>572</v>
      </c>
      <c r="L31">
        <v>657885</v>
      </c>
      <c r="M31">
        <v>415.86</v>
      </c>
      <c r="N31">
        <v>50</v>
      </c>
      <c r="O31">
        <v>42.351999999999997</v>
      </c>
      <c r="P31">
        <v>-71.099000000000004</v>
      </c>
      <c r="Q31" t="s">
        <v>575</v>
      </c>
    </row>
    <row r="32" spans="1:17" x14ac:dyDescent="0.3">
      <c r="A32" t="s">
        <v>47</v>
      </c>
      <c r="B32" t="s">
        <v>276</v>
      </c>
      <c r="C32" t="s">
        <v>301</v>
      </c>
      <c r="D32" t="s">
        <v>354</v>
      </c>
      <c r="E32">
        <v>3</v>
      </c>
      <c r="F32">
        <v>3</v>
      </c>
      <c r="G32">
        <v>2124</v>
      </c>
      <c r="H32">
        <v>1908</v>
      </c>
      <c r="I32" s="2">
        <v>44539</v>
      </c>
      <c r="J32" t="s">
        <v>570</v>
      </c>
      <c r="K32" t="s">
        <v>571</v>
      </c>
      <c r="L32">
        <v>1164368</v>
      </c>
      <c r="M32">
        <v>548.20000000000005</v>
      </c>
      <c r="N32">
        <v>13</v>
      </c>
      <c r="O32">
        <v>41.975999999999999</v>
      </c>
      <c r="P32">
        <v>-87.613</v>
      </c>
    </row>
    <row r="33" spans="1:17" x14ac:dyDescent="0.3">
      <c r="A33" t="s">
        <v>48</v>
      </c>
      <c r="B33" t="s">
        <v>275</v>
      </c>
      <c r="C33" t="s">
        <v>302</v>
      </c>
      <c r="D33" t="s">
        <v>355</v>
      </c>
      <c r="E33">
        <v>3</v>
      </c>
      <c r="F33">
        <v>3</v>
      </c>
      <c r="G33">
        <v>2018</v>
      </c>
      <c r="H33">
        <v>1976</v>
      </c>
      <c r="I33" s="2">
        <v>44516</v>
      </c>
      <c r="J33" t="s">
        <v>568</v>
      </c>
      <c r="K33" t="s">
        <v>571</v>
      </c>
      <c r="L33">
        <v>965011</v>
      </c>
      <c r="M33">
        <v>478.2</v>
      </c>
      <c r="N33">
        <v>8</v>
      </c>
      <c r="O33">
        <v>30.367000000000001</v>
      </c>
      <c r="P33">
        <v>-97.816999999999993</v>
      </c>
      <c r="Q33" t="s">
        <v>577</v>
      </c>
    </row>
    <row r="34" spans="1:17" x14ac:dyDescent="0.3">
      <c r="A34" t="s">
        <v>49</v>
      </c>
      <c r="B34" t="s">
        <v>268</v>
      </c>
      <c r="C34" t="s">
        <v>303</v>
      </c>
      <c r="D34" t="s">
        <v>356</v>
      </c>
      <c r="E34">
        <v>1</v>
      </c>
      <c r="F34">
        <v>1</v>
      </c>
      <c r="G34">
        <v>1574</v>
      </c>
      <c r="H34">
        <v>2003</v>
      </c>
      <c r="I34" s="2">
        <v>43908</v>
      </c>
      <c r="J34" t="s">
        <v>568</v>
      </c>
      <c r="K34" t="s">
        <v>571</v>
      </c>
      <c r="L34">
        <v>581927</v>
      </c>
      <c r="M34">
        <v>369.71</v>
      </c>
      <c r="N34">
        <v>35</v>
      </c>
      <c r="O34">
        <v>47.69</v>
      </c>
      <c r="P34">
        <v>-122.246</v>
      </c>
      <c r="Q34" t="s">
        <v>577</v>
      </c>
    </row>
    <row r="35" spans="1:17" x14ac:dyDescent="0.3">
      <c r="A35" t="s">
        <v>50</v>
      </c>
      <c r="B35" t="s">
        <v>271</v>
      </c>
      <c r="C35" t="s">
        <v>287</v>
      </c>
      <c r="D35" t="s">
        <v>357</v>
      </c>
      <c r="E35">
        <v>3</v>
      </c>
      <c r="F35">
        <v>2</v>
      </c>
      <c r="G35">
        <v>2041</v>
      </c>
      <c r="H35">
        <v>1941</v>
      </c>
      <c r="I35" s="2">
        <v>44312</v>
      </c>
      <c r="J35" t="s">
        <v>570</v>
      </c>
      <c r="K35" t="s">
        <v>573</v>
      </c>
      <c r="L35">
        <v>971764</v>
      </c>
      <c r="M35">
        <v>476.12</v>
      </c>
      <c r="N35">
        <v>22</v>
      </c>
      <c r="O35">
        <v>42.344000000000001</v>
      </c>
      <c r="P35">
        <v>-70.971999999999994</v>
      </c>
      <c r="Q35" t="s">
        <v>579</v>
      </c>
    </row>
    <row r="36" spans="1:17" x14ac:dyDescent="0.3">
      <c r="A36" t="s">
        <v>51</v>
      </c>
      <c r="B36" t="s">
        <v>274</v>
      </c>
      <c r="C36" t="s">
        <v>296</v>
      </c>
      <c r="D36" t="s">
        <v>358</v>
      </c>
      <c r="E36">
        <v>3</v>
      </c>
      <c r="F36">
        <v>3</v>
      </c>
      <c r="G36">
        <v>2014</v>
      </c>
      <c r="H36">
        <v>2006</v>
      </c>
      <c r="I36" s="2">
        <v>44345</v>
      </c>
      <c r="J36" t="s">
        <v>568</v>
      </c>
      <c r="K36" t="s">
        <v>573</v>
      </c>
      <c r="L36">
        <v>1184398</v>
      </c>
      <c r="M36">
        <v>588.08000000000004</v>
      </c>
      <c r="N36">
        <v>30</v>
      </c>
      <c r="O36">
        <v>34.106999999999999</v>
      </c>
      <c r="P36">
        <v>-118.21899999999999</v>
      </c>
      <c r="Q36" t="s">
        <v>576</v>
      </c>
    </row>
    <row r="37" spans="1:17" x14ac:dyDescent="0.3">
      <c r="A37" t="s">
        <v>52</v>
      </c>
      <c r="B37" t="s">
        <v>270</v>
      </c>
      <c r="C37" t="s">
        <v>304</v>
      </c>
      <c r="D37" t="s">
        <v>359</v>
      </c>
      <c r="E37">
        <v>5</v>
      </c>
      <c r="F37">
        <v>5</v>
      </c>
      <c r="G37">
        <v>2801</v>
      </c>
      <c r="H37">
        <v>2015</v>
      </c>
      <c r="I37" s="2">
        <v>43448</v>
      </c>
      <c r="J37" t="s">
        <v>568</v>
      </c>
      <c r="K37" t="s">
        <v>571</v>
      </c>
      <c r="L37">
        <v>2133885</v>
      </c>
      <c r="M37">
        <v>761.83</v>
      </c>
      <c r="N37">
        <v>40</v>
      </c>
      <c r="O37">
        <v>40.737000000000002</v>
      </c>
      <c r="P37">
        <v>-74.043000000000006</v>
      </c>
      <c r="Q37" t="s">
        <v>575</v>
      </c>
    </row>
    <row r="38" spans="1:17" x14ac:dyDescent="0.3">
      <c r="A38" t="s">
        <v>53</v>
      </c>
      <c r="B38" t="s">
        <v>276</v>
      </c>
      <c r="C38" t="s">
        <v>305</v>
      </c>
      <c r="D38" t="s">
        <v>360</v>
      </c>
      <c r="E38">
        <v>2</v>
      </c>
      <c r="F38">
        <v>2</v>
      </c>
      <c r="G38">
        <v>1864</v>
      </c>
      <c r="H38">
        <v>1931</v>
      </c>
      <c r="I38" s="2">
        <v>45604</v>
      </c>
      <c r="J38" t="s">
        <v>566</v>
      </c>
      <c r="K38" t="s">
        <v>571</v>
      </c>
      <c r="L38">
        <v>862986</v>
      </c>
      <c r="M38">
        <v>462.98</v>
      </c>
      <c r="N38">
        <v>22</v>
      </c>
      <c r="O38">
        <v>41.957000000000001</v>
      </c>
      <c r="P38">
        <v>-87.605000000000004</v>
      </c>
      <c r="Q38" t="s">
        <v>579</v>
      </c>
    </row>
    <row r="39" spans="1:17" x14ac:dyDescent="0.3">
      <c r="A39" t="s">
        <v>54</v>
      </c>
      <c r="B39" t="s">
        <v>270</v>
      </c>
      <c r="C39" t="s">
        <v>306</v>
      </c>
      <c r="D39" t="s">
        <v>361</v>
      </c>
      <c r="E39">
        <v>2</v>
      </c>
      <c r="F39">
        <v>2</v>
      </c>
      <c r="G39">
        <v>1793</v>
      </c>
      <c r="H39">
        <v>1988</v>
      </c>
      <c r="I39" s="2">
        <v>43537</v>
      </c>
      <c r="J39" t="s">
        <v>569</v>
      </c>
      <c r="K39" t="s">
        <v>573</v>
      </c>
      <c r="L39">
        <v>952169</v>
      </c>
      <c r="M39">
        <v>531.04999999999995</v>
      </c>
      <c r="N39">
        <v>108</v>
      </c>
      <c r="O39">
        <v>40.771000000000001</v>
      </c>
      <c r="P39">
        <v>-73.971000000000004</v>
      </c>
      <c r="Q39" t="s">
        <v>578</v>
      </c>
    </row>
    <row r="40" spans="1:17" x14ac:dyDescent="0.3">
      <c r="A40" t="s">
        <v>55</v>
      </c>
      <c r="B40" t="s">
        <v>276</v>
      </c>
      <c r="C40" t="s">
        <v>307</v>
      </c>
      <c r="D40" t="s">
        <v>362</v>
      </c>
      <c r="E40">
        <v>4</v>
      </c>
      <c r="F40">
        <v>4</v>
      </c>
      <c r="G40">
        <v>2352</v>
      </c>
      <c r="H40">
        <v>1959</v>
      </c>
      <c r="I40" s="2">
        <v>45390</v>
      </c>
      <c r="J40" t="s">
        <v>570</v>
      </c>
      <c r="K40" t="s">
        <v>571</v>
      </c>
      <c r="L40">
        <v>1360152</v>
      </c>
      <c r="M40">
        <v>578.29999999999995</v>
      </c>
      <c r="N40">
        <v>33</v>
      </c>
      <c r="O40">
        <v>41.930999999999997</v>
      </c>
      <c r="P40">
        <v>-87.631</v>
      </c>
      <c r="Q40" t="s">
        <v>579</v>
      </c>
    </row>
    <row r="41" spans="1:17" x14ac:dyDescent="0.3">
      <c r="A41" t="s">
        <v>56</v>
      </c>
      <c r="B41" t="s">
        <v>273</v>
      </c>
      <c r="C41" t="s">
        <v>285</v>
      </c>
      <c r="D41" t="s">
        <v>363</v>
      </c>
      <c r="E41">
        <v>2</v>
      </c>
      <c r="F41">
        <v>1</v>
      </c>
      <c r="G41">
        <v>1508</v>
      </c>
      <c r="H41">
        <v>1960</v>
      </c>
      <c r="I41" s="2">
        <v>44162</v>
      </c>
      <c r="J41" t="s">
        <v>567</v>
      </c>
      <c r="K41" t="s">
        <v>572</v>
      </c>
      <c r="L41">
        <v>923343</v>
      </c>
      <c r="M41">
        <v>612.29999999999995</v>
      </c>
      <c r="N41">
        <v>57</v>
      </c>
      <c r="O41">
        <v>45.475000000000001</v>
      </c>
      <c r="P41">
        <v>-122.624</v>
      </c>
      <c r="Q41" t="s">
        <v>578</v>
      </c>
    </row>
    <row r="42" spans="1:17" x14ac:dyDescent="0.3">
      <c r="A42" t="s">
        <v>57</v>
      </c>
      <c r="B42" t="s">
        <v>271</v>
      </c>
      <c r="C42" t="s">
        <v>290</v>
      </c>
      <c r="D42" t="s">
        <v>364</v>
      </c>
      <c r="E42">
        <v>1</v>
      </c>
      <c r="F42">
        <v>1</v>
      </c>
      <c r="G42">
        <v>1698</v>
      </c>
      <c r="H42">
        <v>1930</v>
      </c>
      <c r="I42" s="2">
        <v>44476</v>
      </c>
      <c r="J42" t="s">
        <v>568</v>
      </c>
      <c r="K42" t="s">
        <v>572</v>
      </c>
      <c r="L42">
        <v>666819</v>
      </c>
      <c r="M42">
        <v>392.71</v>
      </c>
      <c r="N42">
        <v>77</v>
      </c>
      <c r="O42">
        <v>42.276000000000003</v>
      </c>
      <c r="P42">
        <v>-71.13</v>
      </c>
      <c r="Q42" t="s">
        <v>578</v>
      </c>
    </row>
    <row r="43" spans="1:17" x14ac:dyDescent="0.3">
      <c r="A43" t="s">
        <v>58</v>
      </c>
      <c r="B43" t="s">
        <v>276</v>
      </c>
      <c r="C43" t="s">
        <v>307</v>
      </c>
      <c r="D43" t="s">
        <v>365</v>
      </c>
      <c r="E43">
        <v>4</v>
      </c>
      <c r="F43">
        <v>4</v>
      </c>
      <c r="G43">
        <v>2050</v>
      </c>
      <c r="H43">
        <v>1969</v>
      </c>
      <c r="I43" s="2">
        <v>44804</v>
      </c>
      <c r="J43" t="s">
        <v>566</v>
      </c>
      <c r="K43" t="s">
        <v>573</v>
      </c>
      <c r="L43">
        <v>1205684</v>
      </c>
      <c r="M43">
        <v>588.14</v>
      </c>
      <c r="N43">
        <v>100</v>
      </c>
      <c r="O43">
        <v>41.863999999999997</v>
      </c>
      <c r="P43">
        <v>-87.539000000000001</v>
      </c>
      <c r="Q43" t="s">
        <v>577</v>
      </c>
    </row>
    <row r="44" spans="1:17" x14ac:dyDescent="0.3">
      <c r="A44" t="s">
        <v>59</v>
      </c>
      <c r="B44" t="s">
        <v>274</v>
      </c>
      <c r="C44" t="s">
        <v>292</v>
      </c>
      <c r="D44" t="s">
        <v>366</v>
      </c>
      <c r="E44">
        <v>4</v>
      </c>
      <c r="F44">
        <v>4</v>
      </c>
      <c r="G44">
        <v>2152</v>
      </c>
      <c r="H44">
        <v>1945</v>
      </c>
      <c r="I44" s="2">
        <v>44698</v>
      </c>
      <c r="J44" t="s">
        <v>569</v>
      </c>
      <c r="K44" t="s">
        <v>571</v>
      </c>
      <c r="L44">
        <v>1413433</v>
      </c>
      <c r="M44">
        <v>656.8</v>
      </c>
      <c r="N44">
        <v>37</v>
      </c>
      <c r="O44">
        <v>34.097000000000001</v>
      </c>
      <c r="P44">
        <v>-118.18</v>
      </c>
      <c r="Q44" t="s">
        <v>575</v>
      </c>
    </row>
    <row r="45" spans="1:17" x14ac:dyDescent="0.3">
      <c r="A45" t="s">
        <v>60</v>
      </c>
      <c r="B45" t="s">
        <v>271</v>
      </c>
      <c r="C45" t="s">
        <v>290</v>
      </c>
      <c r="D45" t="s">
        <v>367</v>
      </c>
      <c r="E45">
        <v>4</v>
      </c>
      <c r="F45">
        <v>4</v>
      </c>
      <c r="G45">
        <v>2274</v>
      </c>
      <c r="H45">
        <v>1943</v>
      </c>
      <c r="I45" s="2">
        <v>43777</v>
      </c>
      <c r="J45" t="s">
        <v>569</v>
      </c>
      <c r="K45" t="s">
        <v>572</v>
      </c>
      <c r="L45">
        <v>1184429</v>
      </c>
      <c r="M45">
        <v>520.86</v>
      </c>
      <c r="N45">
        <v>37</v>
      </c>
      <c r="O45">
        <v>42.456000000000003</v>
      </c>
      <c r="P45">
        <v>-71.052999999999997</v>
      </c>
      <c r="Q45" t="s">
        <v>578</v>
      </c>
    </row>
    <row r="46" spans="1:17" x14ac:dyDescent="0.3">
      <c r="A46" t="s">
        <v>61</v>
      </c>
      <c r="B46" t="s">
        <v>268</v>
      </c>
      <c r="C46" t="s">
        <v>291</v>
      </c>
      <c r="D46" t="s">
        <v>368</v>
      </c>
      <c r="E46">
        <v>4</v>
      </c>
      <c r="F46">
        <v>4</v>
      </c>
      <c r="G46">
        <v>2134</v>
      </c>
      <c r="H46">
        <v>1959</v>
      </c>
      <c r="I46" s="2">
        <v>43306</v>
      </c>
      <c r="J46" t="s">
        <v>568</v>
      </c>
      <c r="K46" t="s">
        <v>571</v>
      </c>
      <c r="L46">
        <v>1099455</v>
      </c>
      <c r="M46">
        <v>515.21</v>
      </c>
      <c r="N46">
        <v>7</v>
      </c>
      <c r="O46">
        <v>47.542000000000002</v>
      </c>
      <c r="P46">
        <v>-122.36499999999999</v>
      </c>
      <c r="Q46" t="s">
        <v>578</v>
      </c>
    </row>
    <row r="47" spans="1:17" x14ac:dyDescent="0.3">
      <c r="A47" t="s">
        <v>62</v>
      </c>
      <c r="B47" t="s">
        <v>271</v>
      </c>
      <c r="C47" t="s">
        <v>283</v>
      </c>
      <c r="D47" t="s">
        <v>369</v>
      </c>
      <c r="E47">
        <v>4</v>
      </c>
      <c r="F47">
        <v>4</v>
      </c>
      <c r="G47">
        <v>2787</v>
      </c>
      <c r="H47">
        <v>1969</v>
      </c>
      <c r="I47" s="2">
        <v>44534</v>
      </c>
      <c r="J47" t="s">
        <v>567</v>
      </c>
      <c r="K47" t="s">
        <v>571</v>
      </c>
      <c r="M47">
        <v>543.04999999999995</v>
      </c>
      <c r="N47">
        <v>25</v>
      </c>
      <c r="O47">
        <v>42.415999999999997</v>
      </c>
      <c r="P47">
        <v>-71.03</v>
      </c>
    </row>
    <row r="48" spans="1:17" x14ac:dyDescent="0.3">
      <c r="A48" t="s">
        <v>63</v>
      </c>
      <c r="B48" t="s">
        <v>268</v>
      </c>
      <c r="C48" t="s">
        <v>279</v>
      </c>
      <c r="D48" t="s">
        <v>370</v>
      </c>
      <c r="E48">
        <v>2</v>
      </c>
      <c r="F48">
        <v>2</v>
      </c>
      <c r="G48">
        <v>2003</v>
      </c>
      <c r="H48">
        <v>1960</v>
      </c>
      <c r="I48" s="2">
        <v>45411</v>
      </c>
      <c r="J48" t="s">
        <v>567</v>
      </c>
      <c r="K48" t="s">
        <v>571</v>
      </c>
      <c r="L48">
        <v>690549</v>
      </c>
      <c r="M48">
        <v>344.76</v>
      </c>
      <c r="N48">
        <v>41</v>
      </c>
      <c r="O48">
        <v>47.551000000000002</v>
      </c>
      <c r="P48">
        <v>-122.35599999999999</v>
      </c>
      <c r="Q48" t="s">
        <v>577</v>
      </c>
    </row>
    <row r="49" spans="1:17" x14ac:dyDescent="0.3">
      <c r="A49" t="s">
        <v>64</v>
      </c>
      <c r="B49" t="s">
        <v>275</v>
      </c>
      <c r="C49" t="s">
        <v>308</v>
      </c>
      <c r="D49" t="s">
        <v>371</v>
      </c>
      <c r="E49">
        <v>1</v>
      </c>
      <c r="F49">
        <v>1</v>
      </c>
      <c r="G49">
        <v>1827</v>
      </c>
      <c r="H49">
        <v>2018</v>
      </c>
      <c r="I49" s="2">
        <v>45459</v>
      </c>
      <c r="J49" t="s">
        <v>569</v>
      </c>
      <c r="K49" t="s">
        <v>571</v>
      </c>
      <c r="L49">
        <v>596046</v>
      </c>
      <c r="M49">
        <v>326.24</v>
      </c>
      <c r="N49">
        <v>40</v>
      </c>
      <c r="O49">
        <v>30.312999999999999</v>
      </c>
      <c r="P49">
        <v>-97.825000000000003</v>
      </c>
      <c r="Q49" t="s">
        <v>579</v>
      </c>
    </row>
    <row r="50" spans="1:17" x14ac:dyDescent="0.3">
      <c r="A50" t="s">
        <v>65</v>
      </c>
      <c r="B50" t="s">
        <v>267</v>
      </c>
      <c r="C50" t="s">
        <v>285</v>
      </c>
      <c r="D50" t="s">
        <v>372</v>
      </c>
      <c r="E50">
        <v>5</v>
      </c>
      <c r="F50">
        <v>4</v>
      </c>
      <c r="G50">
        <v>2765</v>
      </c>
      <c r="H50">
        <v>2001</v>
      </c>
      <c r="I50" s="2">
        <v>43269</v>
      </c>
      <c r="J50" t="s">
        <v>568</v>
      </c>
      <c r="K50" t="s">
        <v>571</v>
      </c>
      <c r="L50">
        <v>1678853</v>
      </c>
      <c r="M50">
        <v>607.17999999999995</v>
      </c>
      <c r="N50">
        <v>2</v>
      </c>
      <c r="O50">
        <v>37.802</v>
      </c>
      <c r="P50">
        <v>-122.416</v>
      </c>
      <c r="Q50" t="s">
        <v>579</v>
      </c>
    </row>
    <row r="51" spans="1:17" x14ac:dyDescent="0.3">
      <c r="A51" t="s">
        <v>66</v>
      </c>
      <c r="B51" t="s">
        <v>272</v>
      </c>
      <c r="C51" t="s">
        <v>284</v>
      </c>
      <c r="D51" t="s">
        <v>373</v>
      </c>
      <c r="E51">
        <v>1</v>
      </c>
      <c r="F51">
        <v>1</v>
      </c>
      <c r="G51">
        <v>1170</v>
      </c>
      <c r="H51">
        <v>1946</v>
      </c>
      <c r="I51" s="2">
        <v>43727</v>
      </c>
      <c r="J51" t="s">
        <v>569</v>
      </c>
      <c r="K51" t="s">
        <v>573</v>
      </c>
      <c r="L51">
        <v>584599</v>
      </c>
      <c r="M51">
        <v>499.66</v>
      </c>
      <c r="N51">
        <v>43</v>
      </c>
      <c r="O51">
        <v>25.763999999999999</v>
      </c>
      <c r="P51">
        <v>-80.16</v>
      </c>
      <c r="Q51" t="s">
        <v>577</v>
      </c>
    </row>
    <row r="52" spans="1:17" x14ac:dyDescent="0.3">
      <c r="A52" t="s">
        <v>67</v>
      </c>
      <c r="B52" t="s">
        <v>270</v>
      </c>
      <c r="C52" t="s">
        <v>306</v>
      </c>
      <c r="D52" t="s">
        <v>374</v>
      </c>
      <c r="E52">
        <v>4</v>
      </c>
      <c r="F52">
        <v>3</v>
      </c>
      <c r="G52">
        <v>2463</v>
      </c>
      <c r="H52">
        <v>1975</v>
      </c>
      <c r="I52" s="2">
        <v>44421</v>
      </c>
      <c r="J52" t="s">
        <v>567</v>
      </c>
      <c r="K52" t="s">
        <v>572</v>
      </c>
      <c r="L52">
        <v>1608391</v>
      </c>
      <c r="M52">
        <v>653.02</v>
      </c>
      <c r="N52">
        <v>14</v>
      </c>
      <c r="O52">
        <v>40.627000000000002</v>
      </c>
      <c r="P52">
        <v>-73.933999999999997</v>
      </c>
      <c r="Q52" t="s">
        <v>575</v>
      </c>
    </row>
    <row r="53" spans="1:17" x14ac:dyDescent="0.3">
      <c r="A53" t="s">
        <v>68</v>
      </c>
      <c r="B53" t="s">
        <v>274</v>
      </c>
      <c r="C53" t="s">
        <v>296</v>
      </c>
      <c r="D53" t="s">
        <v>375</v>
      </c>
      <c r="E53">
        <v>4</v>
      </c>
      <c r="F53">
        <v>4</v>
      </c>
      <c r="G53">
        <v>2458</v>
      </c>
      <c r="H53">
        <v>1963</v>
      </c>
      <c r="I53" s="2">
        <v>43845</v>
      </c>
      <c r="J53" t="s">
        <v>569</v>
      </c>
      <c r="K53" t="s">
        <v>573</v>
      </c>
      <c r="L53">
        <v>1702236</v>
      </c>
      <c r="M53">
        <v>692.53</v>
      </c>
      <c r="N53">
        <v>13</v>
      </c>
      <c r="O53">
        <v>34.11</v>
      </c>
      <c r="P53">
        <v>-118.27200000000001</v>
      </c>
      <c r="Q53" t="s">
        <v>577</v>
      </c>
    </row>
    <row r="54" spans="1:17" x14ac:dyDescent="0.3">
      <c r="A54" t="s">
        <v>69</v>
      </c>
      <c r="B54" t="s">
        <v>273</v>
      </c>
      <c r="C54" t="s">
        <v>309</v>
      </c>
      <c r="D54" t="s">
        <v>376</v>
      </c>
      <c r="E54">
        <v>5</v>
      </c>
      <c r="F54">
        <v>4</v>
      </c>
      <c r="G54">
        <v>3166</v>
      </c>
      <c r="H54">
        <v>1910</v>
      </c>
      <c r="I54" s="2">
        <v>44765</v>
      </c>
      <c r="J54" t="s">
        <v>569</v>
      </c>
      <c r="K54" t="s">
        <v>571</v>
      </c>
      <c r="L54">
        <v>2303831</v>
      </c>
      <c r="M54">
        <v>727.68</v>
      </c>
      <c r="N54">
        <v>0</v>
      </c>
      <c r="O54">
        <v>45.468000000000004</v>
      </c>
      <c r="P54">
        <v>-122.685</v>
      </c>
      <c r="Q54" t="s">
        <v>579</v>
      </c>
    </row>
    <row r="55" spans="1:17" x14ac:dyDescent="0.3">
      <c r="A55" t="s">
        <v>70</v>
      </c>
      <c r="B55" t="s">
        <v>268</v>
      </c>
      <c r="C55" t="s">
        <v>291</v>
      </c>
      <c r="D55" t="s">
        <v>377</v>
      </c>
      <c r="E55">
        <v>3</v>
      </c>
      <c r="F55">
        <v>3</v>
      </c>
      <c r="G55">
        <v>2264</v>
      </c>
      <c r="H55">
        <v>1988</v>
      </c>
      <c r="I55" s="2">
        <v>44355</v>
      </c>
      <c r="J55" t="s">
        <v>570</v>
      </c>
      <c r="K55" t="s">
        <v>571</v>
      </c>
      <c r="L55">
        <v>926449</v>
      </c>
      <c r="M55">
        <v>409.21</v>
      </c>
      <c r="N55">
        <v>58</v>
      </c>
      <c r="O55">
        <v>47.610999999999997</v>
      </c>
      <c r="P55">
        <v>-122.361</v>
      </c>
      <c r="Q55" t="s">
        <v>579</v>
      </c>
    </row>
    <row r="56" spans="1:17" x14ac:dyDescent="0.3">
      <c r="A56" t="s">
        <v>71</v>
      </c>
      <c r="B56" t="s">
        <v>269</v>
      </c>
      <c r="C56" t="s">
        <v>288</v>
      </c>
      <c r="D56" t="s">
        <v>378</v>
      </c>
      <c r="E56">
        <v>3</v>
      </c>
      <c r="F56">
        <v>3</v>
      </c>
      <c r="G56">
        <v>2390</v>
      </c>
      <c r="H56">
        <v>1929</v>
      </c>
      <c r="I56" s="2">
        <v>43889</v>
      </c>
      <c r="J56" t="s">
        <v>568</v>
      </c>
      <c r="K56" t="s">
        <v>573</v>
      </c>
      <c r="L56">
        <v>1223537</v>
      </c>
      <c r="M56">
        <v>511.94</v>
      </c>
      <c r="N56">
        <v>63</v>
      </c>
      <c r="O56">
        <v>39.747</v>
      </c>
      <c r="P56">
        <v>-104.938</v>
      </c>
      <c r="Q56" t="s">
        <v>575</v>
      </c>
    </row>
    <row r="57" spans="1:17" x14ac:dyDescent="0.3">
      <c r="A57" t="s">
        <v>72</v>
      </c>
      <c r="B57" t="s">
        <v>270</v>
      </c>
      <c r="C57" t="s">
        <v>310</v>
      </c>
      <c r="D57" t="s">
        <v>379</v>
      </c>
      <c r="E57">
        <v>5</v>
      </c>
      <c r="F57">
        <v>4</v>
      </c>
      <c r="G57">
        <v>2803</v>
      </c>
      <c r="H57">
        <v>1967</v>
      </c>
      <c r="I57" s="2">
        <v>44260</v>
      </c>
      <c r="J57" t="s">
        <v>566</v>
      </c>
      <c r="K57" t="s">
        <v>572</v>
      </c>
      <c r="L57">
        <v>2045680</v>
      </c>
      <c r="M57">
        <v>729.82</v>
      </c>
      <c r="N57">
        <v>91</v>
      </c>
      <c r="O57">
        <v>40.668999999999997</v>
      </c>
      <c r="P57">
        <v>-74.037999999999997</v>
      </c>
      <c r="Q57" t="s">
        <v>576</v>
      </c>
    </row>
    <row r="58" spans="1:17" x14ac:dyDescent="0.3">
      <c r="A58" t="s">
        <v>73</v>
      </c>
      <c r="B58" t="s">
        <v>275</v>
      </c>
      <c r="C58" t="s">
        <v>308</v>
      </c>
      <c r="D58" t="s">
        <v>380</v>
      </c>
      <c r="E58">
        <v>1</v>
      </c>
      <c r="F58">
        <v>1</v>
      </c>
      <c r="G58">
        <v>1439</v>
      </c>
      <c r="H58">
        <v>1970</v>
      </c>
      <c r="I58" s="2">
        <v>43618</v>
      </c>
      <c r="J58" t="s">
        <v>569</v>
      </c>
      <c r="K58" t="s">
        <v>573</v>
      </c>
      <c r="L58">
        <v>517185</v>
      </c>
      <c r="M58">
        <v>359.41</v>
      </c>
      <c r="N58">
        <v>8</v>
      </c>
      <c r="O58">
        <v>30.172000000000001</v>
      </c>
      <c r="P58">
        <v>-97.783000000000001</v>
      </c>
      <c r="Q58" t="s">
        <v>578</v>
      </c>
    </row>
    <row r="59" spans="1:17" x14ac:dyDescent="0.3">
      <c r="A59" t="s">
        <v>74</v>
      </c>
      <c r="B59" t="s">
        <v>275</v>
      </c>
      <c r="C59" t="s">
        <v>296</v>
      </c>
      <c r="D59" t="s">
        <v>381</v>
      </c>
      <c r="E59">
        <v>3</v>
      </c>
      <c r="F59">
        <v>2</v>
      </c>
      <c r="G59">
        <v>1896</v>
      </c>
      <c r="H59">
        <v>1961</v>
      </c>
      <c r="I59" s="2">
        <v>43368</v>
      </c>
      <c r="J59" t="s">
        <v>569</v>
      </c>
      <c r="K59" t="s">
        <v>571</v>
      </c>
      <c r="L59">
        <v>910828</v>
      </c>
      <c r="M59">
        <v>480.39</v>
      </c>
      <c r="N59">
        <v>45</v>
      </c>
      <c r="O59">
        <v>30.285</v>
      </c>
      <c r="P59">
        <v>-97.703000000000003</v>
      </c>
      <c r="Q59" t="s">
        <v>575</v>
      </c>
    </row>
    <row r="60" spans="1:17" x14ac:dyDescent="0.3">
      <c r="A60" t="s">
        <v>75</v>
      </c>
      <c r="B60" t="s">
        <v>271</v>
      </c>
      <c r="C60" t="s">
        <v>283</v>
      </c>
      <c r="D60" t="s">
        <v>382</v>
      </c>
      <c r="E60">
        <v>2</v>
      </c>
      <c r="F60">
        <v>2</v>
      </c>
      <c r="G60">
        <v>1869</v>
      </c>
      <c r="H60">
        <v>1997</v>
      </c>
      <c r="I60" s="2">
        <v>45584</v>
      </c>
      <c r="J60" t="s">
        <v>570</v>
      </c>
      <c r="K60" t="s">
        <v>572</v>
      </c>
      <c r="L60">
        <v>966071</v>
      </c>
      <c r="M60">
        <v>516.89</v>
      </c>
      <c r="N60">
        <v>35</v>
      </c>
      <c r="O60">
        <v>42.305</v>
      </c>
      <c r="P60">
        <v>-71.055000000000007</v>
      </c>
      <c r="Q60" t="s">
        <v>578</v>
      </c>
    </row>
    <row r="61" spans="1:17" x14ac:dyDescent="0.3">
      <c r="A61" t="s">
        <v>76</v>
      </c>
      <c r="B61" t="s">
        <v>274</v>
      </c>
      <c r="C61" t="s">
        <v>292</v>
      </c>
      <c r="D61" t="s">
        <v>383</v>
      </c>
      <c r="E61">
        <v>3</v>
      </c>
      <c r="F61">
        <v>3</v>
      </c>
      <c r="G61">
        <v>2463</v>
      </c>
      <c r="H61">
        <v>1907</v>
      </c>
      <c r="I61" s="2">
        <v>43507</v>
      </c>
      <c r="J61" t="s">
        <v>567</v>
      </c>
      <c r="K61" t="s">
        <v>571</v>
      </c>
      <c r="L61">
        <v>1544549</v>
      </c>
      <c r="M61">
        <v>627.1</v>
      </c>
      <c r="N61">
        <v>116</v>
      </c>
      <c r="O61">
        <v>34.003</v>
      </c>
      <c r="P61">
        <v>-118.324</v>
      </c>
      <c r="Q61" t="s">
        <v>575</v>
      </c>
    </row>
    <row r="62" spans="1:17" x14ac:dyDescent="0.3">
      <c r="A62" t="s">
        <v>77</v>
      </c>
      <c r="B62" t="s">
        <v>267</v>
      </c>
      <c r="C62" t="s">
        <v>311</v>
      </c>
      <c r="D62" t="s">
        <v>384</v>
      </c>
      <c r="E62">
        <v>1</v>
      </c>
      <c r="F62">
        <v>1</v>
      </c>
      <c r="G62">
        <v>1656</v>
      </c>
      <c r="H62">
        <v>1988</v>
      </c>
      <c r="I62" s="2">
        <v>45025</v>
      </c>
      <c r="J62" t="s">
        <v>568</v>
      </c>
      <c r="K62" t="s">
        <v>573</v>
      </c>
      <c r="L62">
        <v>575332</v>
      </c>
      <c r="M62">
        <v>347.42</v>
      </c>
      <c r="N62">
        <v>2</v>
      </c>
      <c r="O62">
        <v>37.728000000000002</v>
      </c>
      <c r="P62">
        <v>-122.373</v>
      </c>
      <c r="Q62" t="s">
        <v>578</v>
      </c>
    </row>
    <row r="63" spans="1:17" x14ac:dyDescent="0.3">
      <c r="A63" t="s">
        <v>78</v>
      </c>
      <c r="B63" t="s">
        <v>271</v>
      </c>
      <c r="C63" t="s">
        <v>287</v>
      </c>
      <c r="D63" t="s">
        <v>385</v>
      </c>
      <c r="E63">
        <v>2</v>
      </c>
      <c r="F63">
        <v>2</v>
      </c>
      <c r="G63">
        <v>1921</v>
      </c>
      <c r="H63">
        <v>1969</v>
      </c>
      <c r="I63" s="2">
        <v>43711</v>
      </c>
      <c r="J63" t="s">
        <v>568</v>
      </c>
      <c r="K63" t="s">
        <v>572</v>
      </c>
      <c r="L63">
        <v>899524</v>
      </c>
      <c r="M63">
        <v>468.26</v>
      </c>
      <c r="N63">
        <v>56</v>
      </c>
      <c r="O63">
        <v>42.274000000000001</v>
      </c>
      <c r="P63">
        <v>-71.126999999999995</v>
      </c>
      <c r="Q63" t="s">
        <v>576</v>
      </c>
    </row>
    <row r="64" spans="1:17" x14ac:dyDescent="0.3">
      <c r="A64" t="s">
        <v>79</v>
      </c>
      <c r="B64" t="s">
        <v>271</v>
      </c>
      <c r="C64" t="s">
        <v>290</v>
      </c>
      <c r="D64" t="s">
        <v>386</v>
      </c>
      <c r="E64">
        <v>1</v>
      </c>
      <c r="F64">
        <v>1</v>
      </c>
      <c r="G64">
        <v>1618</v>
      </c>
      <c r="H64">
        <v>1938</v>
      </c>
      <c r="I64" s="2">
        <v>44216</v>
      </c>
      <c r="J64" t="s">
        <v>570</v>
      </c>
      <c r="K64" t="s">
        <v>571</v>
      </c>
      <c r="L64">
        <v>697264</v>
      </c>
      <c r="M64">
        <v>430.94</v>
      </c>
      <c r="N64">
        <v>9</v>
      </c>
      <c r="O64">
        <v>42.347999999999999</v>
      </c>
      <c r="P64">
        <v>-71.040000000000006</v>
      </c>
      <c r="Q64" t="s">
        <v>578</v>
      </c>
    </row>
    <row r="65" spans="1:17" x14ac:dyDescent="0.3">
      <c r="A65" t="s">
        <v>80</v>
      </c>
      <c r="B65" t="s">
        <v>274</v>
      </c>
      <c r="C65" t="s">
        <v>312</v>
      </c>
      <c r="D65" t="s">
        <v>387</v>
      </c>
      <c r="E65">
        <v>1</v>
      </c>
      <c r="F65">
        <v>1</v>
      </c>
      <c r="G65">
        <v>1121</v>
      </c>
      <c r="H65">
        <v>1986</v>
      </c>
      <c r="I65" s="2">
        <v>45505</v>
      </c>
      <c r="J65" t="s">
        <v>566</v>
      </c>
      <c r="K65" t="s">
        <v>574</v>
      </c>
      <c r="L65">
        <v>591648</v>
      </c>
      <c r="M65">
        <v>527.79</v>
      </c>
      <c r="N65">
        <v>60</v>
      </c>
      <c r="O65">
        <v>34.084000000000003</v>
      </c>
      <c r="P65">
        <v>-118.286</v>
      </c>
    </row>
    <row r="66" spans="1:17" x14ac:dyDescent="0.3">
      <c r="A66" t="s">
        <v>81</v>
      </c>
      <c r="B66" t="s">
        <v>270</v>
      </c>
      <c r="C66" t="s">
        <v>281</v>
      </c>
      <c r="D66" t="s">
        <v>388</v>
      </c>
      <c r="E66">
        <v>4</v>
      </c>
      <c r="F66">
        <v>3</v>
      </c>
      <c r="G66">
        <v>2454</v>
      </c>
      <c r="H66">
        <v>1923</v>
      </c>
      <c r="I66" s="2">
        <v>44886</v>
      </c>
      <c r="J66" t="s">
        <v>569</v>
      </c>
      <c r="K66" t="s">
        <v>574</v>
      </c>
      <c r="L66">
        <v>1466220</v>
      </c>
      <c r="M66">
        <v>597.48</v>
      </c>
      <c r="N66">
        <v>40</v>
      </c>
      <c r="O66">
        <v>40.704000000000001</v>
      </c>
      <c r="P66">
        <v>-74.028000000000006</v>
      </c>
      <c r="Q66" t="s">
        <v>576</v>
      </c>
    </row>
    <row r="67" spans="1:17" x14ac:dyDescent="0.3">
      <c r="A67" t="s">
        <v>82</v>
      </c>
      <c r="B67" t="s">
        <v>275</v>
      </c>
      <c r="C67" t="s">
        <v>308</v>
      </c>
      <c r="D67" t="s">
        <v>389</v>
      </c>
      <c r="E67">
        <v>4</v>
      </c>
      <c r="F67">
        <v>3</v>
      </c>
      <c r="G67">
        <v>2496</v>
      </c>
      <c r="H67">
        <v>1936</v>
      </c>
      <c r="I67" s="2">
        <v>45354</v>
      </c>
      <c r="J67" t="s">
        <v>566</v>
      </c>
      <c r="K67" t="s">
        <v>571</v>
      </c>
      <c r="L67">
        <v>1266724</v>
      </c>
      <c r="M67">
        <v>507.5</v>
      </c>
      <c r="N67">
        <v>39</v>
      </c>
      <c r="O67">
        <v>30.233000000000001</v>
      </c>
      <c r="P67">
        <v>-97.775000000000006</v>
      </c>
      <c r="Q67" t="s">
        <v>578</v>
      </c>
    </row>
    <row r="68" spans="1:17" x14ac:dyDescent="0.3">
      <c r="A68" t="s">
        <v>83</v>
      </c>
      <c r="B68" t="s">
        <v>268</v>
      </c>
      <c r="D68" t="s">
        <v>390</v>
      </c>
      <c r="E68">
        <v>4</v>
      </c>
      <c r="F68">
        <v>4</v>
      </c>
      <c r="G68">
        <v>2415</v>
      </c>
      <c r="H68">
        <v>1924</v>
      </c>
      <c r="I68" s="2">
        <v>44582</v>
      </c>
      <c r="J68" t="s">
        <v>570</v>
      </c>
      <c r="K68" t="s">
        <v>572</v>
      </c>
      <c r="L68">
        <v>1110386</v>
      </c>
      <c r="M68">
        <v>459.79</v>
      </c>
      <c r="N68">
        <v>45</v>
      </c>
      <c r="O68">
        <v>47.625</v>
      </c>
      <c r="P68">
        <v>-122.27800000000001</v>
      </c>
      <c r="Q68" t="s">
        <v>575</v>
      </c>
    </row>
    <row r="69" spans="1:17" x14ac:dyDescent="0.3">
      <c r="A69" t="s">
        <v>84</v>
      </c>
      <c r="B69" t="s">
        <v>275</v>
      </c>
      <c r="C69" t="s">
        <v>308</v>
      </c>
      <c r="D69" t="s">
        <v>391</v>
      </c>
      <c r="E69">
        <v>4</v>
      </c>
      <c r="F69">
        <v>3</v>
      </c>
      <c r="G69">
        <v>2540</v>
      </c>
      <c r="H69">
        <v>1962</v>
      </c>
      <c r="I69" s="2">
        <v>43219</v>
      </c>
      <c r="J69" t="s">
        <v>570</v>
      </c>
      <c r="K69" t="s">
        <v>572</v>
      </c>
      <c r="L69">
        <v>1468777</v>
      </c>
      <c r="M69">
        <v>578.26</v>
      </c>
      <c r="N69">
        <v>66</v>
      </c>
      <c r="O69">
        <v>30.312000000000001</v>
      </c>
      <c r="P69">
        <v>-97.778000000000006</v>
      </c>
    </row>
    <row r="70" spans="1:17" x14ac:dyDescent="0.3">
      <c r="A70" t="s">
        <v>85</v>
      </c>
      <c r="B70" t="s">
        <v>267</v>
      </c>
      <c r="C70" t="s">
        <v>311</v>
      </c>
      <c r="D70" t="s">
        <v>392</v>
      </c>
      <c r="E70">
        <v>1</v>
      </c>
      <c r="F70">
        <v>1</v>
      </c>
      <c r="G70">
        <v>1156</v>
      </c>
      <c r="H70">
        <v>1915</v>
      </c>
      <c r="I70" s="2">
        <v>45142</v>
      </c>
      <c r="J70" t="s">
        <v>568</v>
      </c>
      <c r="K70" t="s">
        <v>571</v>
      </c>
      <c r="L70">
        <v>373882</v>
      </c>
      <c r="M70">
        <v>323.43</v>
      </c>
      <c r="N70">
        <v>50</v>
      </c>
      <c r="O70">
        <v>37.725000000000001</v>
      </c>
      <c r="P70">
        <v>-122.26300000000001</v>
      </c>
      <c r="Q70" t="s">
        <v>578</v>
      </c>
    </row>
    <row r="71" spans="1:17" x14ac:dyDescent="0.3">
      <c r="A71" t="s">
        <v>86</v>
      </c>
      <c r="B71" t="s">
        <v>273</v>
      </c>
      <c r="C71" t="s">
        <v>289</v>
      </c>
      <c r="D71" t="s">
        <v>393</v>
      </c>
      <c r="E71">
        <v>4</v>
      </c>
      <c r="F71">
        <v>4</v>
      </c>
      <c r="G71">
        <v>2528</v>
      </c>
      <c r="H71">
        <v>1976</v>
      </c>
      <c r="I71" s="2">
        <v>43660</v>
      </c>
      <c r="J71" t="s">
        <v>566</v>
      </c>
      <c r="K71" t="s">
        <v>571</v>
      </c>
      <c r="L71">
        <v>1734876</v>
      </c>
      <c r="M71">
        <v>686.26</v>
      </c>
      <c r="N71">
        <v>150</v>
      </c>
      <c r="O71">
        <v>45.578000000000003</v>
      </c>
      <c r="P71">
        <v>-122.697</v>
      </c>
      <c r="Q71" t="s">
        <v>577</v>
      </c>
    </row>
    <row r="72" spans="1:17" x14ac:dyDescent="0.3">
      <c r="A72" t="s">
        <v>87</v>
      </c>
      <c r="B72" t="s">
        <v>271</v>
      </c>
      <c r="C72" t="s">
        <v>313</v>
      </c>
      <c r="D72" t="s">
        <v>394</v>
      </c>
      <c r="E72">
        <v>5</v>
      </c>
      <c r="F72">
        <v>5</v>
      </c>
      <c r="G72">
        <v>2843</v>
      </c>
      <c r="H72">
        <v>1984</v>
      </c>
      <c r="I72" s="2">
        <v>43709</v>
      </c>
      <c r="J72" t="s">
        <v>569</v>
      </c>
      <c r="K72" t="s">
        <v>571</v>
      </c>
      <c r="L72">
        <v>1931114</v>
      </c>
      <c r="M72">
        <v>679.25</v>
      </c>
      <c r="N72">
        <v>63</v>
      </c>
      <c r="O72">
        <v>42.329000000000001</v>
      </c>
      <c r="P72">
        <v>-71.05</v>
      </c>
      <c r="Q72" t="s">
        <v>577</v>
      </c>
    </row>
    <row r="73" spans="1:17" x14ac:dyDescent="0.3">
      <c r="A73" t="s">
        <v>88</v>
      </c>
      <c r="B73" t="s">
        <v>269</v>
      </c>
      <c r="C73" t="s">
        <v>291</v>
      </c>
      <c r="D73" t="s">
        <v>395</v>
      </c>
      <c r="E73">
        <v>2</v>
      </c>
      <c r="F73">
        <v>2</v>
      </c>
      <c r="G73">
        <v>1963</v>
      </c>
      <c r="H73">
        <v>1929</v>
      </c>
      <c r="I73" s="2">
        <v>43279</v>
      </c>
      <c r="J73" t="s">
        <v>568</v>
      </c>
      <c r="K73" t="s">
        <v>572</v>
      </c>
      <c r="L73">
        <v>962901</v>
      </c>
      <c r="M73">
        <v>490.53</v>
      </c>
      <c r="N73">
        <v>57</v>
      </c>
      <c r="O73">
        <v>39.780999999999999</v>
      </c>
      <c r="P73">
        <v>-104.928</v>
      </c>
      <c r="Q73" t="s">
        <v>578</v>
      </c>
    </row>
    <row r="74" spans="1:17" x14ac:dyDescent="0.3">
      <c r="A74" t="s">
        <v>89</v>
      </c>
      <c r="B74" t="s">
        <v>270</v>
      </c>
      <c r="C74" t="s">
        <v>314</v>
      </c>
      <c r="D74" t="s">
        <v>396</v>
      </c>
      <c r="E74">
        <v>2</v>
      </c>
      <c r="G74">
        <v>1607</v>
      </c>
      <c r="H74">
        <v>1975</v>
      </c>
      <c r="I74" s="2">
        <v>43512</v>
      </c>
      <c r="J74" t="s">
        <v>569</v>
      </c>
      <c r="K74" t="s">
        <v>573</v>
      </c>
      <c r="L74">
        <v>855074</v>
      </c>
      <c r="M74">
        <v>532.09</v>
      </c>
      <c r="N74">
        <v>20</v>
      </c>
      <c r="O74">
        <v>40.792000000000002</v>
      </c>
      <c r="P74">
        <v>-74.106999999999999</v>
      </c>
      <c r="Q74" t="s">
        <v>575</v>
      </c>
    </row>
    <row r="75" spans="1:17" x14ac:dyDescent="0.3">
      <c r="A75" t="s">
        <v>90</v>
      </c>
      <c r="B75" t="s">
        <v>267</v>
      </c>
      <c r="C75" t="s">
        <v>293</v>
      </c>
      <c r="D75" t="s">
        <v>397</v>
      </c>
      <c r="E75">
        <v>3</v>
      </c>
      <c r="F75">
        <v>3</v>
      </c>
      <c r="G75">
        <v>2120</v>
      </c>
      <c r="H75">
        <v>1988</v>
      </c>
      <c r="I75" s="2">
        <v>43429</v>
      </c>
      <c r="J75" t="s">
        <v>568</v>
      </c>
      <c r="K75" t="s">
        <v>572</v>
      </c>
      <c r="L75">
        <v>1199609</v>
      </c>
      <c r="M75">
        <v>565.85</v>
      </c>
      <c r="N75">
        <v>21</v>
      </c>
      <c r="O75">
        <v>37.841999999999999</v>
      </c>
      <c r="P75">
        <v>-122.354</v>
      </c>
      <c r="Q75" t="s">
        <v>576</v>
      </c>
    </row>
    <row r="76" spans="1:17" x14ac:dyDescent="0.3">
      <c r="A76" t="s">
        <v>91</v>
      </c>
      <c r="B76" t="s">
        <v>273</v>
      </c>
      <c r="D76" t="s">
        <v>398</v>
      </c>
      <c r="E76">
        <v>5</v>
      </c>
      <c r="F76">
        <v>5</v>
      </c>
      <c r="G76">
        <v>2872</v>
      </c>
      <c r="H76">
        <v>1980</v>
      </c>
      <c r="I76" s="2">
        <v>44032</v>
      </c>
      <c r="J76" t="s">
        <v>566</v>
      </c>
      <c r="K76" t="s">
        <v>571</v>
      </c>
      <c r="L76">
        <v>1851273</v>
      </c>
      <c r="M76">
        <v>644.59</v>
      </c>
      <c r="N76">
        <v>20</v>
      </c>
      <c r="O76">
        <v>45.44</v>
      </c>
      <c r="P76">
        <v>-122.65300000000001</v>
      </c>
    </row>
    <row r="77" spans="1:17" x14ac:dyDescent="0.3">
      <c r="A77" t="s">
        <v>92</v>
      </c>
      <c r="B77" t="s">
        <v>271</v>
      </c>
      <c r="C77" t="s">
        <v>283</v>
      </c>
      <c r="D77" t="s">
        <v>399</v>
      </c>
      <c r="E77">
        <v>1</v>
      </c>
      <c r="F77">
        <v>1</v>
      </c>
      <c r="G77">
        <v>1772</v>
      </c>
      <c r="H77">
        <v>1907</v>
      </c>
      <c r="I77" s="2">
        <v>44569</v>
      </c>
      <c r="J77" t="s">
        <v>568</v>
      </c>
      <c r="K77" t="s">
        <v>571</v>
      </c>
      <c r="L77">
        <v>7665020</v>
      </c>
      <c r="M77">
        <v>432.56</v>
      </c>
      <c r="N77">
        <v>2</v>
      </c>
      <c r="O77">
        <v>42.308999999999997</v>
      </c>
      <c r="P77">
        <v>-71.078000000000003</v>
      </c>
      <c r="Q77" t="s">
        <v>579</v>
      </c>
    </row>
    <row r="78" spans="1:17" x14ac:dyDescent="0.3">
      <c r="A78" t="s">
        <v>93</v>
      </c>
      <c r="B78" t="s">
        <v>275</v>
      </c>
      <c r="C78" t="s">
        <v>295</v>
      </c>
      <c r="D78" t="s">
        <v>400</v>
      </c>
      <c r="E78">
        <v>1</v>
      </c>
      <c r="F78">
        <v>1</v>
      </c>
      <c r="G78">
        <v>1321</v>
      </c>
      <c r="H78">
        <v>1948</v>
      </c>
      <c r="I78" s="2">
        <v>45139</v>
      </c>
      <c r="J78" t="s">
        <v>570</v>
      </c>
      <c r="K78" t="s">
        <v>573</v>
      </c>
      <c r="L78">
        <v>546640</v>
      </c>
      <c r="M78">
        <v>413.81</v>
      </c>
      <c r="N78">
        <v>13</v>
      </c>
      <c r="O78">
        <v>30.262</v>
      </c>
      <c r="P78">
        <v>-97.789000000000001</v>
      </c>
      <c r="Q78" t="s">
        <v>576</v>
      </c>
    </row>
    <row r="79" spans="1:17" x14ac:dyDescent="0.3">
      <c r="A79" t="s">
        <v>94</v>
      </c>
      <c r="B79" t="s">
        <v>270</v>
      </c>
      <c r="C79" t="s">
        <v>310</v>
      </c>
      <c r="D79" t="s">
        <v>401</v>
      </c>
      <c r="E79">
        <v>5</v>
      </c>
      <c r="F79">
        <v>5</v>
      </c>
      <c r="G79">
        <v>2754</v>
      </c>
      <c r="H79">
        <v>1956</v>
      </c>
      <c r="I79" s="2">
        <v>45507</v>
      </c>
      <c r="J79" t="s">
        <v>568</v>
      </c>
      <c r="K79" t="s">
        <v>571</v>
      </c>
      <c r="L79">
        <v>1908414</v>
      </c>
      <c r="M79">
        <v>692.96</v>
      </c>
      <c r="N79">
        <v>15</v>
      </c>
      <c r="O79">
        <v>40.695</v>
      </c>
      <c r="P79">
        <v>-74.06</v>
      </c>
      <c r="Q79" t="s">
        <v>576</v>
      </c>
    </row>
    <row r="80" spans="1:17" x14ac:dyDescent="0.3">
      <c r="A80" t="s">
        <v>95</v>
      </c>
      <c r="B80" t="s">
        <v>270</v>
      </c>
      <c r="C80" t="s">
        <v>314</v>
      </c>
      <c r="D80" t="s">
        <v>402</v>
      </c>
      <c r="E80">
        <v>2</v>
      </c>
      <c r="F80">
        <v>2</v>
      </c>
      <c r="G80">
        <v>2336</v>
      </c>
      <c r="H80">
        <v>1945</v>
      </c>
      <c r="I80" s="2">
        <v>44312</v>
      </c>
      <c r="J80" t="s">
        <v>568</v>
      </c>
      <c r="K80" t="s">
        <v>573</v>
      </c>
      <c r="L80">
        <v>1337510</v>
      </c>
      <c r="M80">
        <v>572.55999999999995</v>
      </c>
      <c r="N80">
        <v>25</v>
      </c>
      <c r="O80">
        <v>40.776000000000003</v>
      </c>
      <c r="P80">
        <v>-74.031000000000006</v>
      </c>
    </row>
    <row r="81" spans="1:17" x14ac:dyDescent="0.3">
      <c r="A81" t="s">
        <v>96</v>
      </c>
      <c r="B81" t="s">
        <v>274</v>
      </c>
      <c r="C81" t="s">
        <v>292</v>
      </c>
      <c r="D81" t="s">
        <v>403</v>
      </c>
      <c r="E81">
        <v>3</v>
      </c>
      <c r="F81">
        <v>2</v>
      </c>
      <c r="G81">
        <v>2147</v>
      </c>
      <c r="H81">
        <v>1929</v>
      </c>
      <c r="I81" s="2">
        <v>44544</v>
      </c>
      <c r="J81" t="s">
        <v>567</v>
      </c>
      <c r="K81" t="s">
        <v>571</v>
      </c>
      <c r="L81">
        <v>1316572</v>
      </c>
      <c r="M81">
        <v>613.21</v>
      </c>
      <c r="N81">
        <v>60</v>
      </c>
      <c r="O81">
        <v>34.073999999999998</v>
      </c>
      <c r="P81">
        <v>-118.20399999999999</v>
      </c>
      <c r="Q81" t="s">
        <v>579</v>
      </c>
    </row>
    <row r="82" spans="1:17" x14ac:dyDescent="0.3">
      <c r="A82" t="s">
        <v>97</v>
      </c>
      <c r="B82" t="s">
        <v>267</v>
      </c>
      <c r="C82" t="s">
        <v>278</v>
      </c>
      <c r="D82" t="s">
        <v>404</v>
      </c>
      <c r="E82">
        <v>3</v>
      </c>
      <c r="F82">
        <v>2</v>
      </c>
      <c r="G82">
        <v>1902</v>
      </c>
      <c r="H82">
        <v>1904</v>
      </c>
      <c r="I82" s="2">
        <v>44595</v>
      </c>
      <c r="J82" t="s">
        <v>567</v>
      </c>
      <c r="K82" t="s">
        <v>573</v>
      </c>
      <c r="L82">
        <v>902412</v>
      </c>
      <c r="M82">
        <v>474.45</v>
      </c>
      <c r="N82">
        <v>50</v>
      </c>
      <c r="O82">
        <v>37.728999999999999</v>
      </c>
      <c r="P82">
        <v>-122.28100000000001</v>
      </c>
      <c r="Q82" t="s">
        <v>575</v>
      </c>
    </row>
    <row r="83" spans="1:17" x14ac:dyDescent="0.3">
      <c r="A83" t="s">
        <v>98</v>
      </c>
      <c r="B83" t="s">
        <v>273</v>
      </c>
      <c r="C83" t="s">
        <v>286</v>
      </c>
      <c r="D83" t="s">
        <v>405</v>
      </c>
      <c r="E83">
        <v>5</v>
      </c>
      <c r="F83">
        <v>5</v>
      </c>
      <c r="G83">
        <v>2916</v>
      </c>
      <c r="H83">
        <v>1934</v>
      </c>
      <c r="I83" s="2">
        <v>44153</v>
      </c>
      <c r="J83" t="s">
        <v>569</v>
      </c>
      <c r="K83" t="s">
        <v>574</v>
      </c>
      <c r="L83">
        <v>1921175</v>
      </c>
      <c r="M83">
        <v>658.84</v>
      </c>
      <c r="N83">
        <v>24</v>
      </c>
      <c r="O83">
        <v>45.478999999999999</v>
      </c>
      <c r="P83">
        <v>-122.60599999999999</v>
      </c>
    </row>
    <row r="84" spans="1:17" x14ac:dyDescent="0.3">
      <c r="A84" t="s">
        <v>99</v>
      </c>
      <c r="B84" t="s">
        <v>275</v>
      </c>
      <c r="C84" t="s">
        <v>295</v>
      </c>
      <c r="D84" t="s">
        <v>406</v>
      </c>
      <c r="E84">
        <v>4</v>
      </c>
      <c r="F84">
        <v>3</v>
      </c>
      <c r="G84">
        <v>2281</v>
      </c>
      <c r="H84">
        <v>2002</v>
      </c>
      <c r="I84" s="2">
        <v>44599</v>
      </c>
      <c r="J84" t="s">
        <v>566</v>
      </c>
      <c r="K84" t="s">
        <v>572</v>
      </c>
      <c r="L84">
        <v>1188958</v>
      </c>
      <c r="M84">
        <v>521.24</v>
      </c>
      <c r="N84">
        <v>87</v>
      </c>
      <c r="O84">
        <v>30.172999999999998</v>
      </c>
      <c r="P84">
        <v>-97.733000000000004</v>
      </c>
      <c r="Q84" t="s">
        <v>578</v>
      </c>
    </row>
    <row r="85" spans="1:17" x14ac:dyDescent="0.3">
      <c r="A85" t="s">
        <v>100</v>
      </c>
      <c r="B85" t="s">
        <v>274</v>
      </c>
      <c r="C85" t="s">
        <v>292</v>
      </c>
      <c r="D85" t="s">
        <v>407</v>
      </c>
      <c r="E85">
        <v>3</v>
      </c>
      <c r="F85">
        <v>3</v>
      </c>
      <c r="G85">
        <v>2201</v>
      </c>
      <c r="H85">
        <v>1929</v>
      </c>
      <c r="I85" s="2">
        <v>43203</v>
      </c>
      <c r="J85" t="s">
        <v>570</v>
      </c>
      <c r="K85" t="s">
        <v>572</v>
      </c>
      <c r="L85">
        <v>1287478</v>
      </c>
      <c r="M85">
        <v>584.95000000000005</v>
      </c>
      <c r="N85">
        <v>62</v>
      </c>
      <c r="O85">
        <v>34.061999999999998</v>
      </c>
      <c r="P85">
        <v>-118.157</v>
      </c>
      <c r="Q85" t="s">
        <v>575</v>
      </c>
    </row>
    <row r="86" spans="1:17" x14ac:dyDescent="0.3">
      <c r="A86" t="s">
        <v>101</v>
      </c>
      <c r="B86" t="s">
        <v>270</v>
      </c>
      <c r="C86" t="s">
        <v>310</v>
      </c>
      <c r="D86" t="s">
        <v>408</v>
      </c>
      <c r="E86">
        <v>4</v>
      </c>
      <c r="F86">
        <v>4</v>
      </c>
      <c r="G86">
        <v>2931</v>
      </c>
      <c r="H86">
        <v>1905</v>
      </c>
      <c r="I86" s="2">
        <v>44347</v>
      </c>
      <c r="J86" t="s">
        <v>569</v>
      </c>
      <c r="K86" t="s">
        <v>573</v>
      </c>
      <c r="L86">
        <v>19784490</v>
      </c>
      <c r="M86">
        <v>675.01</v>
      </c>
      <c r="N86">
        <v>10</v>
      </c>
      <c r="O86">
        <v>40.656999999999996</v>
      </c>
      <c r="P86">
        <v>-74.001999999999995</v>
      </c>
      <c r="Q86" t="s">
        <v>578</v>
      </c>
    </row>
    <row r="87" spans="1:17" x14ac:dyDescent="0.3">
      <c r="A87" t="s">
        <v>102</v>
      </c>
      <c r="B87" t="s">
        <v>273</v>
      </c>
      <c r="C87" t="s">
        <v>285</v>
      </c>
      <c r="D87" t="s">
        <v>409</v>
      </c>
      <c r="E87">
        <v>5</v>
      </c>
      <c r="F87">
        <v>4</v>
      </c>
      <c r="G87">
        <v>2579</v>
      </c>
      <c r="H87">
        <v>1919</v>
      </c>
      <c r="I87" s="2">
        <v>43506</v>
      </c>
      <c r="J87" t="s">
        <v>569</v>
      </c>
      <c r="K87" t="s">
        <v>571</v>
      </c>
      <c r="L87">
        <v>1969808</v>
      </c>
      <c r="M87">
        <v>763.79</v>
      </c>
      <c r="N87">
        <v>13</v>
      </c>
      <c r="O87">
        <v>45.607999999999997</v>
      </c>
      <c r="P87">
        <v>-122.724</v>
      </c>
      <c r="Q87" t="s">
        <v>579</v>
      </c>
    </row>
    <row r="88" spans="1:17" x14ac:dyDescent="0.3">
      <c r="A88" t="s">
        <v>103</v>
      </c>
      <c r="B88" t="s">
        <v>270</v>
      </c>
      <c r="D88" t="s">
        <v>410</v>
      </c>
      <c r="E88">
        <v>2</v>
      </c>
      <c r="F88">
        <v>1</v>
      </c>
      <c r="G88">
        <v>1911</v>
      </c>
      <c r="H88">
        <v>1912</v>
      </c>
      <c r="I88" s="2">
        <v>45331</v>
      </c>
      <c r="J88" t="s">
        <v>568</v>
      </c>
      <c r="K88" t="s">
        <v>573</v>
      </c>
      <c r="L88">
        <v>1095254</v>
      </c>
      <c r="M88">
        <v>573.13</v>
      </c>
      <c r="N88">
        <v>7</v>
      </c>
      <c r="O88">
        <v>40.664999999999999</v>
      </c>
      <c r="P88">
        <v>-73.915999999999997</v>
      </c>
      <c r="Q88" t="s">
        <v>578</v>
      </c>
    </row>
    <row r="89" spans="1:17" x14ac:dyDescent="0.3">
      <c r="A89" t="s">
        <v>104</v>
      </c>
      <c r="B89" t="s">
        <v>274</v>
      </c>
      <c r="C89" t="s">
        <v>297</v>
      </c>
      <c r="D89" t="s">
        <v>411</v>
      </c>
      <c r="E89">
        <v>1</v>
      </c>
      <c r="F89">
        <v>1</v>
      </c>
      <c r="G89">
        <v>1485</v>
      </c>
      <c r="H89">
        <v>1931</v>
      </c>
      <c r="I89" s="2">
        <v>45413</v>
      </c>
      <c r="J89" t="s">
        <v>567</v>
      </c>
      <c r="K89" t="s">
        <v>573</v>
      </c>
      <c r="L89">
        <v>582252</v>
      </c>
      <c r="M89">
        <v>392.09</v>
      </c>
      <c r="N89">
        <v>4</v>
      </c>
      <c r="O89">
        <v>34.103000000000002</v>
      </c>
      <c r="P89">
        <v>-118.29900000000001</v>
      </c>
      <c r="Q89" t="s">
        <v>575</v>
      </c>
    </row>
    <row r="90" spans="1:17" x14ac:dyDescent="0.3">
      <c r="A90" t="s">
        <v>105</v>
      </c>
      <c r="B90" t="s">
        <v>269</v>
      </c>
      <c r="C90" t="s">
        <v>291</v>
      </c>
      <c r="D90" t="s">
        <v>412</v>
      </c>
      <c r="E90">
        <v>5</v>
      </c>
      <c r="F90">
        <v>5</v>
      </c>
      <c r="G90">
        <v>2637</v>
      </c>
      <c r="H90">
        <v>2009</v>
      </c>
      <c r="I90" s="2">
        <v>43633</v>
      </c>
      <c r="J90" t="s">
        <v>570</v>
      </c>
      <c r="K90" t="s">
        <v>571</v>
      </c>
      <c r="L90">
        <v>1571682</v>
      </c>
      <c r="M90">
        <v>596.01</v>
      </c>
      <c r="N90">
        <v>83</v>
      </c>
      <c r="O90">
        <v>39.674999999999997</v>
      </c>
      <c r="P90">
        <v>-104.958</v>
      </c>
    </row>
    <row r="91" spans="1:17" x14ac:dyDescent="0.3">
      <c r="A91" t="s">
        <v>106</v>
      </c>
      <c r="B91" t="s">
        <v>269</v>
      </c>
      <c r="C91" t="s">
        <v>291</v>
      </c>
      <c r="D91" t="s">
        <v>413</v>
      </c>
      <c r="E91">
        <v>5</v>
      </c>
      <c r="F91">
        <v>5</v>
      </c>
      <c r="G91">
        <v>2342</v>
      </c>
      <c r="H91">
        <v>1922</v>
      </c>
      <c r="I91" s="2">
        <v>43315</v>
      </c>
      <c r="J91" t="s">
        <v>567</v>
      </c>
      <c r="K91" t="s">
        <v>572</v>
      </c>
      <c r="L91">
        <v>1477535</v>
      </c>
      <c r="M91">
        <v>630.89</v>
      </c>
      <c r="N91">
        <v>38</v>
      </c>
      <c r="O91">
        <v>39.744999999999997</v>
      </c>
      <c r="P91">
        <v>-104.941</v>
      </c>
      <c r="Q91" t="s">
        <v>578</v>
      </c>
    </row>
    <row r="92" spans="1:17" x14ac:dyDescent="0.3">
      <c r="A92" t="s">
        <v>107</v>
      </c>
      <c r="B92" t="s">
        <v>273</v>
      </c>
      <c r="C92" t="s">
        <v>315</v>
      </c>
      <c r="D92" t="s">
        <v>414</v>
      </c>
      <c r="E92">
        <v>1</v>
      </c>
      <c r="F92">
        <v>1</v>
      </c>
      <c r="G92">
        <v>1860</v>
      </c>
      <c r="H92">
        <v>1928</v>
      </c>
      <c r="I92" s="2">
        <v>45236</v>
      </c>
      <c r="J92" t="s">
        <v>568</v>
      </c>
      <c r="K92" t="s">
        <v>571</v>
      </c>
      <c r="L92">
        <v>825421</v>
      </c>
      <c r="M92">
        <v>443.77</v>
      </c>
      <c r="N92">
        <v>69</v>
      </c>
      <c r="O92">
        <v>45.613</v>
      </c>
      <c r="P92">
        <v>-122.768</v>
      </c>
      <c r="Q92" t="s">
        <v>578</v>
      </c>
    </row>
    <row r="93" spans="1:17" x14ac:dyDescent="0.3">
      <c r="A93" t="s">
        <v>108</v>
      </c>
      <c r="B93" t="s">
        <v>272</v>
      </c>
      <c r="C93" t="s">
        <v>294</v>
      </c>
      <c r="D93" t="s">
        <v>415</v>
      </c>
      <c r="E93">
        <v>4</v>
      </c>
      <c r="F93">
        <v>3</v>
      </c>
      <c r="G93">
        <v>2403</v>
      </c>
      <c r="H93">
        <v>1956</v>
      </c>
      <c r="I93" s="2">
        <v>43431</v>
      </c>
      <c r="J93" t="s">
        <v>568</v>
      </c>
      <c r="K93" t="s">
        <v>571</v>
      </c>
      <c r="L93">
        <v>1380959</v>
      </c>
      <c r="M93">
        <v>574.67999999999995</v>
      </c>
      <c r="N93">
        <v>48</v>
      </c>
      <c r="O93">
        <v>25.672999999999998</v>
      </c>
      <c r="P93">
        <v>-80.234999999999999</v>
      </c>
      <c r="Q93" t="s">
        <v>579</v>
      </c>
    </row>
    <row r="94" spans="1:17" x14ac:dyDescent="0.3">
      <c r="A94" t="s">
        <v>109</v>
      </c>
      <c r="B94" t="s">
        <v>269</v>
      </c>
      <c r="C94" t="s">
        <v>288</v>
      </c>
      <c r="D94" t="s">
        <v>416</v>
      </c>
      <c r="E94">
        <v>5</v>
      </c>
      <c r="F94">
        <v>5</v>
      </c>
      <c r="G94">
        <v>2750</v>
      </c>
      <c r="H94">
        <v>1958</v>
      </c>
      <c r="I94" s="2">
        <v>45580</v>
      </c>
      <c r="J94" t="s">
        <v>569</v>
      </c>
      <c r="K94" t="s">
        <v>573</v>
      </c>
      <c r="L94">
        <v>1734631</v>
      </c>
      <c r="M94">
        <v>630.77</v>
      </c>
      <c r="N94">
        <v>37</v>
      </c>
      <c r="O94">
        <v>39.78</v>
      </c>
      <c r="P94">
        <v>-104.919</v>
      </c>
      <c r="Q94" t="s">
        <v>579</v>
      </c>
    </row>
    <row r="95" spans="1:17" x14ac:dyDescent="0.3">
      <c r="A95" t="s">
        <v>110</v>
      </c>
      <c r="B95" t="s">
        <v>276</v>
      </c>
      <c r="C95" t="s">
        <v>301</v>
      </c>
      <c r="D95" t="s">
        <v>417</v>
      </c>
      <c r="E95">
        <v>4</v>
      </c>
      <c r="F95">
        <v>3</v>
      </c>
      <c r="G95">
        <v>2304</v>
      </c>
      <c r="H95">
        <v>1952</v>
      </c>
      <c r="I95" s="2">
        <v>44958</v>
      </c>
      <c r="J95" t="s">
        <v>569</v>
      </c>
      <c r="K95" t="s">
        <v>571</v>
      </c>
      <c r="L95">
        <v>1303972</v>
      </c>
      <c r="M95">
        <v>565.96</v>
      </c>
      <c r="N95">
        <v>54</v>
      </c>
      <c r="O95">
        <v>41.798999999999999</v>
      </c>
      <c r="P95">
        <v>-87.635000000000005</v>
      </c>
      <c r="Q95" t="s">
        <v>579</v>
      </c>
    </row>
    <row r="96" spans="1:17" x14ac:dyDescent="0.3">
      <c r="A96" t="s">
        <v>111</v>
      </c>
      <c r="B96" t="s">
        <v>275</v>
      </c>
      <c r="C96" t="s">
        <v>316</v>
      </c>
      <c r="D96" t="s">
        <v>418</v>
      </c>
      <c r="E96">
        <v>1</v>
      </c>
      <c r="G96">
        <v>1897</v>
      </c>
      <c r="H96">
        <v>1910</v>
      </c>
      <c r="I96" s="2">
        <v>44869</v>
      </c>
      <c r="J96" t="s">
        <v>566</v>
      </c>
      <c r="K96" t="s">
        <v>572</v>
      </c>
      <c r="L96">
        <v>631089</v>
      </c>
      <c r="M96">
        <v>332.68</v>
      </c>
      <c r="N96">
        <v>98</v>
      </c>
      <c r="O96">
        <v>30.245000000000001</v>
      </c>
      <c r="P96">
        <v>-97.813999999999993</v>
      </c>
    </row>
    <row r="97" spans="1:17" x14ac:dyDescent="0.3">
      <c r="A97" t="s">
        <v>112</v>
      </c>
      <c r="B97" t="s">
        <v>273</v>
      </c>
      <c r="C97" t="s">
        <v>286</v>
      </c>
      <c r="D97" t="s">
        <v>419</v>
      </c>
      <c r="E97">
        <v>1</v>
      </c>
      <c r="F97">
        <v>1</v>
      </c>
      <c r="G97">
        <v>1012</v>
      </c>
      <c r="H97">
        <v>2011</v>
      </c>
      <c r="I97" s="2">
        <v>43311</v>
      </c>
      <c r="J97" t="s">
        <v>568</v>
      </c>
      <c r="K97" t="s">
        <v>571</v>
      </c>
      <c r="L97">
        <v>517765</v>
      </c>
      <c r="M97">
        <v>511.63</v>
      </c>
      <c r="N97">
        <v>52</v>
      </c>
      <c r="O97">
        <v>45.49</v>
      </c>
      <c r="P97">
        <v>-122.664</v>
      </c>
      <c r="Q97" t="s">
        <v>575</v>
      </c>
    </row>
    <row r="98" spans="1:17" x14ac:dyDescent="0.3">
      <c r="A98" t="s">
        <v>113</v>
      </c>
      <c r="B98" t="s">
        <v>276</v>
      </c>
      <c r="C98" t="s">
        <v>307</v>
      </c>
      <c r="D98" t="s">
        <v>420</v>
      </c>
      <c r="E98">
        <v>3</v>
      </c>
      <c r="F98">
        <v>2</v>
      </c>
      <c r="G98">
        <v>2170</v>
      </c>
      <c r="H98">
        <v>1947</v>
      </c>
      <c r="I98" s="2">
        <v>44242</v>
      </c>
      <c r="J98" t="s">
        <v>570</v>
      </c>
      <c r="K98" t="s">
        <v>573</v>
      </c>
      <c r="L98">
        <v>1039979</v>
      </c>
      <c r="M98">
        <v>479.25</v>
      </c>
      <c r="N98">
        <v>28</v>
      </c>
      <c r="O98">
        <v>41.866</v>
      </c>
      <c r="P98">
        <v>-87.608000000000004</v>
      </c>
      <c r="Q98" t="s">
        <v>577</v>
      </c>
    </row>
    <row r="99" spans="1:17" x14ac:dyDescent="0.3">
      <c r="A99" t="s">
        <v>114</v>
      </c>
      <c r="B99" t="s">
        <v>268</v>
      </c>
      <c r="C99" t="s">
        <v>279</v>
      </c>
      <c r="D99" t="s">
        <v>421</v>
      </c>
      <c r="E99">
        <v>3</v>
      </c>
      <c r="F99">
        <v>3</v>
      </c>
      <c r="G99">
        <v>1977</v>
      </c>
      <c r="H99">
        <v>1934</v>
      </c>
      <c r="J99" t="s">
        <v>568</v>
      </c>
      <c r="K99" t="s">
        <v>573</v>
      </c>
      <c r="L99">
        <v>842451</v>
      </c>
      <c r="M99">
        <v>426.13</v>
      </c>
      <c r="N99">
        <v>60</v>
      </c>
      <c r="O99">
        <v>47.673999999999999</v>
      </c>
      <c r="P99">
        <v>-122.31699999999999</v>
      </c>
      <c r="Q99" t="s">
        <v>578</v>
      </c>
    </row>
    <row r="100" spans="1:17" x14ac:dyDescent="0.3">
      <c r="A100" t="s">
        <v>115</v>
      </c>
      <c r="B100" t="s">
        <v>268</v>
      </c>
      <c r="C100" t="s">
        <v>291</v>
      </c>
      <c r="D100" t="s">
        <v>422</v>
      </c>
      <c r="E100">
        <v>5</v>
      </c>
      <c r="F100">
        <v>5</v>
      </c>
      <c r="G100">
        <v>2789</v>
      </c>
      <c r="H100">
        <v>1953</v>
      </c>
      <c r="I100" s="2">
        <v>44497</v>
      </c>
      <c r="J100" t="s">
        <v>567</v>
      </c>
      <c r="K100" t="s">
        <v>571</v>
      </c>
      <c r="L100">
        <v>1465588</v>
      </c>
      <c r="M100">
        <v>525.49</v>
      </c>
      <c r="N100">
        <v>61</v>
      </c>
      <c r="O100">
        <v>47.643999999999998</v>
      </c>
      <c r="P100">
        <v>-122.27500000000001</v>
      </c>
      <c r="Q100" t="s">
        <v>577</v>
      </c>
    </row>
    <row r="101" spans="1:17" x14ac:dyDescent="0.3">
      <c r="A101" t="s">
        <v>116</v>
      </c>
      <c r="B101" t="s">
        <v>268</v>
      </c>
      <c r="C101" t="s">
        <v>282</v>
      </c>
      <c r="D101" t="s">
        <v>423</v>
      </c>
      <c r="E101">
        <v>2</v>
      </c>
      <c r="F101">
        <v>1</v>
      </c>
      <c r="G101">
        <v>1877</v>
      </c>
      <c r="H101">
        <v>1906</v>
      </c>
      <c r="I101" s="2">
        <v>44215</v>
      </c>
      <c r="J101" t="s">
        <v>569</v>
      </c>
      <c r="K101" t="s">
        <v>571</v>
      </c>
      <c r="L101">
        <v>798087</v>
      </c>
      <c r="M101">
        <v>425.19</v>
      </c>
      <c r="N101">
        <v>53</v>
      </c>
      <c r="O101">
        <v>47.597000000000001</v>
      </c>
      <c r="P101">
        <v>-122.342</v>
      </c>
      <c r="Q101" t="s">
        <v>576</v>
      </c>
    </row>
    <row r="102" spans="1:17" x14ac:dyDescent="0.3">
      <c r="A102" t="s">
        <v>117</v>
      </c>
      <c r="B102" t="s">
        <v>267</v>
      </c>
      <c r="C102" t="s">
        <v>285</v>
      </c>
      <c r="D102" t="s">
        <v>424</v>
      </c>
      <c r="E102">
        <v>4</v>
      </c>
      <c r="F102">
        <v>4</v>
      </c>
      <c r="G102">
        <v>2193</v>
      </c>
      <c r="H102">
        <v>1986</v>
      </c>
      <c r="I102" s="2">
        <v>45094</v>
      </c>
      <c r="J102" t="s">
        <v>570</v>
      </c>
      <c r="K102" t="s">
        <v>571</v>
      </c>
      <c r="L102">
        <v>1110985</v>
      </c>
      <c r="M102">
        <v>506.61</v>
      </c>
      <c r="N102">
        <v>57</v>
      </c>
      <c r="O102">
        <v>37.679000000000002</v>
      </c>
      <c r="P102">
        <v>-122.351</v>
      </c>
      <c r="Q102" t="s">
        <v>577</v>
      </c>
    </row>
    <row r="103" spans="1:17" x14ac:dyDescent="0.3">
      <c r="A103" t="s">
        <v>118</v>
      </c>
      <c r="B103" t="s">
        <v>276</v>
      </c>
      <c r="C103" t="s">
        <v>317</v>
      </c>
      <c r="D103" t="s">
        <v>425</v>
      </c>
      <c r="E103">
        <v>2</v>
      </c>
      <c r="F103">
        <v>1</v>
      </c>
      <c r="G103">
        <v>1953</v>
      </c>
      <c r="H103">
        <v>1997</v>
      </c>
      <c r="I103" s="2">
        <v>44286</v>
      </c>
      <c r="J103" t="s">
        <v>568</v>
      </c>
      <c r="K103" t="s">
        <v>573</v>
      </c>
      <c r="L103">
        <v>893172</v>
      </c>
      <c r="M103">
        <v>457.33</v>
      </c>
      <c r="N103">
        <v>38</v>
      </c>
      <c r="O103">
        <v>41.878999999999998</v>
      </c>
      <c r="P103">
        <v>-87.634</v>
      </c>
      <c r="Q103" t="s">
        <v>575</v>
      </c>
    </row>
    <row r="104" spans="1:17" x14ac:dyDescent="0.3">
      <c r="A104" t="s">
        <v>119</v>
      </c>
      <c r="B104" t="s">
        <v>276</v>
      </c>
      <c r="C104" t="s">
        <v>318</v>
      </c>
      <c r="D104" t="s">
        <v>426</v>
      </c>
      <c r="E104">
        <v>5</v>
      </c>
      <c r="F104">
        <v>4</v>
      </c>
      <c r="G104">
        <v>3019</v>
      </c>
      <c r="H104">
        <v>2003</v>
      </c>
      <c r="I104" s="2">
        <v>43396</v>
      </c>
      <c r="J104" t="s">
        <v>569</v>
      </c>
      <c r="K104" t="s">
        <v>572</v>
      </c>
      <c r="L104">
        <v>1772344</v>
      </c>
      <c r="M104">
        <v>587.05999999999995</v>
      </c>
      <c r="N104">
        <v>51</v>
      </c>
      <c r="O104">
        <v>41.787999999999997</v>
      </c>
      <c r="P104">
        <v>-87.715999999999994</v>
      </c>
    </row>
    <row r="105" spans="1:17" x14ac:dyDescent="0.3">
      <c r="A105" t="s">
        <v>120</v>
      </c>
      <c r="B105" t="s">
        <v>274</v>
      </c>
      <c r="C105" t="s">
        <v>292</v>
      </c>
      <c r="D105" t="s">
        <v>427</v>
      </c>
      <c r="E105">
        <v>5</v>
      </c>
      <c r="F105">
        <v>5</v>
      </c>
      <c r="G105">
        <v>2649</v>
      </c>
      <c r="H105">
        <v>1981</v>
      </c>
      <c r="I105" s="2">
        <v>44286</v>
      </c>
      <c r="J105" t="s">
        <v>566</v>
      </c>
      <c r="K105" t="s">
        <v>571</v>
      </c>
      <c r="L105">
        <v>1917302</v>
      </c>
      <c r="M105">
        <v>723.78</v>
      </c>
      <c r="N105">
        <v>67</v>
      </c>
      <c r="O105">
        <v>34.143000000000001</v>
      </c>
      <c r="P105">
        <v>-118.306</v>
      </c>
      <c r="Q105" t="s">
        <v>577</v>
      </c>
    </row>
    <row r="106" spans="1:17" x14ac:dyDescent="0.3">
      <c r="A106" t="s">
        <v>121</v>
      </c>
      <c r="B106" t="s">
        <v>267</v>
      </c>
      <c r="C106" t="s">
        <v>293</v>
      </c>
      <c r="D106" t="s">
        <v>428</v>
      </c>
      <c r="E106">
        <v>1</v>
      </c>
      <c r="F106">
        <v>1</v>
      </c>
      <c r="G106">
        <v>1706</v>
      </c>
      <c r="H106">
        <v>1975</v>
      </c>
      <c r="I106" s="2">
        <v>45247</v>
      </c>
      <c r="J106" t="s">
        <v>566</v>
      </c>
      <c r="K106" t="s">
        <v>571</v>
      </c>
      <c r="L106">
        <v>693761</v>
      </c>
      <c r="M106">
        <v>406.66</v>
      </c>
      <c r="N106">
        <v>74</v>
      </c>
      <c r="O106">
        <v>37.731999999999999</v>
      </c>
      <c r="P106">
        <v>-122.36199999999999</v>
      </c>
      <c r="Q106" t="s">
        <v>576</v>
      </c>
    </row>
    <row r="107" spans="1:17" x14ac:dyDescent="0.3">
      <c r="A107" t="s">
        <v>122</v>
      </c>
      <c r="B107" t="s">
        <v>267</v>
      </c>
      <c r="C107" t="s">
        <v>286</v>
      </c>
      <c r="D107" t="s">
        <v>429</v>
      </c>
      <c r="E107">
        <v>1</v>
      </c>
      <c r="F107">
        <v>1</v>
      </c>
      <c r="G107">
        <v>1505</v>
      </c>
      <c r="H107">
        <v>1924</v>
      </c>
      <c r="I107" s="2">
        <v>44539</v>
      </c>
      <c r="J107" t="s">
        <v>567</v>
      </c>
      <c r="K107" t="s">
        <v>573</v>
      </c>
      <c r="L107">
        <v>600381</v>
      </c>
      <c r="M107">
        <v>398.92</v>
      </c>
      <c r="N107">
        <v>25</v>
      </c>
      <c r="O107">
        <v>37.698999999999998</v>
      </c>
      <c r="P107">
        <v>-122.39100000000001</v>
      </c>
      <c r="Q107" t="s">
        <v>577</v>
      </c>
    </row>
    <row r="108" spans="1:17" x14ac:dyDescent="0.3">
      <c r="A108" t="s">
        <v>123</v>
      </c>
      <c r="B108" t="s">
        <v>275</v>
      </c>
      <c r="C108" t="s">
        <v>316</v>
      </c>
      <c r="D108" t="s">
        <v>430</v>
      </c>
      <c r="E108">
        <v>4</v>
      </c>
      <c r="F108">
        <v>3</v>
      </c>
      <c r="G108">
        <v>2481</v>
      </c>
      <c r="H108">
        <v>1997</v>
      </c>
      <c r="I108" s="2">
        <v>44939</v>
      </c>
      <c r="J108" t="s">
        <v>570</v>
      </c>
      <c r="K108" t="s">
        <v>571</v>
      </c>
      <c r="L108">
        <v>1345311</v>
      </c>
      <c r="M108">
        <v>542.25</v>
      </c>
      <c r="N108">
        <v>37</v>
      </c>
      <c r="O108">
        <v>30.367000000000001</v>
      </c>
      <c r="P108">
        <v>-97.775000000000006</v>
      </c>
      <c r="Q108" t="s">
        <v>579</v>
      </c>
    </row>
    <row r="109" spans="1:17" x14ac:dyDescent="0.3">
      <c r="A109" t="s">
        <v>124</v>
      </c>
      <c r="B109" t="s">
        <v>270</v>
      </c>
      <c r="C109" t="s">
        <v>314</v>
      </c>
      <c r="D109" t="s">
        <v>431</v>
      </c>
      <c r="E109">
        <v>4</v>
      </c>
      <c r="F109">
        <v>4</v>
      </c>
      <c r="G109">
        <v>2549</v>
      </c>
      <c r="H109">
        <v>1938</v>
      </c>
      <c r="I109" s="2">
        <v>45523</v>
      </c>
      <c r="J109" t="s">
        <v>566</v>
      </c>
      <c r="K109" t="s">
        <v>571</v>
      </c>
      <c r="L109">
        <v>1545244</v>
      </c>
      <c r="M109">
        <v>606.22</v>
      </c>
      <c r="N109">
        <v>97</v>
      </c>
      <c r="O109">
        <v>40.625</v>
      </c>
      <c r="P109">
        <v>-74.018000000000001</v>
      </c>
    </row>
    <row r="110" spans="1:17" x14ac:dyDescent="0.3">
      <c r="A110" t="s">
        <v>125</v>
      </c>
      <c r="B110" t="s">
        <v>271</v>
      </c>
      <c r="C110" t="s">
        <v>283</v>
      </c>
      <c r="D110" t="s">
        <v>432</v>
      </c>
      <c r="E110">
        <v>1</v>
      </c>
      <c r="F110">
        <v>1</v>
      </c>
      <c r="G110">
        <v>1248</v>
      </c>
      <c r="H110">
        <v>1964</v>
      </c>
      <c r="I110" s="2">
        <v>44996</v>
      </c>
      <c r="J110" t="s">
        <v>570</v>
      </c>
      <c r="K110" t="s">
        <v>571</v>
      </c>
      <c r="L110">
        <v>480685</v>
      </c>
      <c r="M110">
        <v>385.16</v>
      </c>
      <c r="N110">
        <v>69</v>
      </c>
      <c r="O110">
        <v>42.417999999999999</v>
      </c>
      <c r="P110">
        <v>-70.980999999999995</v>
      </c>
      <c r="Q110" t="s">
        <v>578</v>
      </c>
    </row>
    <row r="111" spans="1:17" x14ac:dyDescent="0.3">
      <c r="A111" t="s">
        <v>126</v>
      </c>
      <c r="B111" t="s">
        <v>276</v>
      </c>
      <c r="C111" t="s">
        <v>317</v>
      </c>
      <c r="D111" t="s">
        <v>433</v>
      </c>
      <c r="E111">
        <v>5</v>
      </c>
      <c r="F111">
        <v>5</v>
      </c>
      <c r="G111">
        <v>2898</v>
      </c>
      <c r="H111">
        <v>1919</v>
      </c>
      <c r="I111" s="2">
        <v>44946</v>
      </c>
      <c r="J111" t="s">
        <v>566</v>
      </c>
      <c r="K111" t="s">
        <v>572</v>
      </c>
      <c r="L111">
        <v>1824284</v>
      </c>
      <c r="M111">
        <v>629.5</v>
      </c>
      <c r="N111">
        <v>53</v>
      </c>
      <c r="O111">
        <v>41.947000000000003</v>
      </c>
      <c r="P111">
        <v>-87.524000000000001</v>
      </c>
    </row>
    <row r="112" spans="1:17" x14ac:dyDescent="0.3">
      <c r="A112" t="s">
        <v>127</v>
      </c>
      <c r="B112" t="s">
        <v>268</v>
      </c>
      <c r="C112" t="s">
        <v>282</v>
      </c>
      <c r="D112" t="s">
        <v>434</v>
      </c>
      <c r="E112">
        <v>4</v>
      </c>
      <c r="F112">
        <v>3</v>
      </c>
      <c r="G112">
        <v>2397</v>
      </c>
      <c r="H112">
        <v>1967</v>
      </c>
      <c r="I112" s="2">
        <v>45598</v>
      </c>
      <c r="J112" t="s">
        <v>567</v>
      </c>
      <c r="K112" t="s">
        <v>571</v>
      </c>
      <c r="L112">
        <v>1126466</v>
      </c>
      <c r="M112">
        <v>469.95</v>
      </c>
      <c r="N112">
        <v>37</v>
      </c>
      <c r="O112">
        <v>47.683999999999997</v>
      </c>
      <c r="P112">
        <v>-122.35299999999999</v>
      </c>
      <c r="Q112" t="s">
        <v>576</v>
      </c>
    </row>
    <row r="113" spans="1:17" x14ac:dyDescent="0.3">
      <c r="A113" t="s">
        <v>128</v>
      </c>
      <c r="B113" t="s">
        <v>268</v>
      </c>
      <c r="C113" t="s">
        <v>319</v>
      </c>
      <c r="D113" t="s">
        <v>435</v>
      </c>
      <c r="E113">
        <v>1</v>
      </c>
      <c r="F113">
        <v>1</v>
      </c>
      <c r="G113">
        <v>1331</v>
      </c>
      <c r="H113">
        <v>1971</v>
      </c>
      <c r="J113" t="s">
        <v>568</v>
      </c>
      <c r="K113" t="s">
        <v>572</v>
      </c>
      <c r="L113">
        <v>523092</v>
      </c>
      <c r="M113">
        <v>393.01</v>
      </c>
      <c r="N113">
        <v>30</v>
      </c>
      <c r="O113">
        <v>47.631</v>
      </c>
      <c r="P113">
        <v>-122.249</v>
      </c>
      <c r="Q113" t="s">
        <v>575</v>
      </c>
    </row>
    <row r="114" spans="1:17" x14ac:dyDescent="0.3">
      <c r="A114" t="s">
        <v>129</v>
      </c>
      <c r="B114" t="s">
        <v>274</v>
      </c>
      <c r="C114" t="s">
        <v>320</v>
      </c>
      <c r="D114" t="s">
        <v>436</v>
      </c>
      <c r="E114">
        <v>3</v>
      </c>
      <c r="F114">
        <v>3</v>
      </c>
      <c r="G114">
        <v>1894</v>
      </c>
      <c r="H114">
        <v>1983</v>
      </c>
      <c r="I114" s="2">
        <v>43629</v>
      </c>
      <c r="J114" t="s">
        <v>570</v>
      </c>
      <c r="K114" t="s">
        <v>572</v>
      </c>
      <c r="L114">
        <v>1174285</v>
      </c>
      <c r="M114">
        <v>620</v>
      </c>
      <c r="N114">
        <v>47</v>
      </c>
      <c r="O114">
        <v>33.966999999999999</v>
      </c>
      <c r="P114">
        <v>-118.22799999999999</v>
      </c>
      <c r="Q114" t="s">
        <v>579</v>
      </c>
    </row>
    <row r="115" spans="1:17" x14ac:dyDescent="0.3">
      <c r="A115" t="s">
        <v>130</v>
      </c>
      <c r="B115" t="s">
        <v>275</v>
      </c>
      <c r="C115" t="s">
        <v>302</v>
      </c>
      <c r="D115" t="s">
        <v>378</v>
      </c>
      <c r="E115">
        <v>1</v>
      </c>
      <c r="F115">
        <v>1</v>
      </c>
      <c r="G115">
        <v>1359</v>
      </c>
      <c r="H115">
        <v>1954</v>
      </c>
      <c r="I115" s="2">
        <v>44583</v>
      </c>
      <c r="J115" t="s">
        <v>566</v>
      </c>
      <c r="K115" t="s">
        <v>571</v>
      </c>
      <c r="L115">
        <v>498487</v>
      </c>
      <c r="M115">
        <v>366.8</v>
      </c>
      <c r="N115">
        <v>42</v>
      </c>
      <c r="O115">
        <v>30.206</v>
      </c>
      <c r="P115">
        <v>-97.796999999999997</v>
      </c>
      <c r="Q115" t="s">
        <v>578</v>
      </c>
    </row>
    <row r="116" spans="1:17" x14ac:dyDescent="0.3">
      <c r="A116" t="s">
        <v>131</v>
      </c>
      <c r="B116" t="s">
        <v>275</v>
      </c>
      <c r="C116" t="s">
        <v>295</v>
      </c>
      <c r="D116" t="s">
        <v>437</v>
      </c>
      <c r="E116">
        <v>1</v>
      </c>
      <c r="F116">
        <v>1</v>
      </c>
      <c r="G116">
        <v>1561</v>
      </c>
      <c r="H116">
        <v>2000</v>
      </c>
      <c r="I116" s="2">
        <v>45180</v>
      </c>
      <c r="J116" t="s">
        <v>570</v>
      </c>
      <c r="K116" t="s">
        <v>572</v>
      </c>
      <c r="L116">
        <v>564198</v>
      </c>
      <c r="M116">
        <v>361.43</v>
      </c>
      <c r="N116">
        <v>20</v>
      </c>
      <c r="O116">
        <v>30.347000000000001</v>
      </c>
      <c r="P116">
        <v>-97.831999999999994</v>
      </c>
      <c r="Q116" t="s">
        <v>576</v>
      </c>
    </row>
    <row r="117" spans="1:17" x14ac:dyDescent="0.3">
      <c r="A117" t="s">
        <v>132</v>
      </c>
      <c r="B117" t="s">
        <v>275</v>
      </c>
      <c r="C117" t="s">
        <v>302</v>
      </c>
      <c r="D117" t="s">
        <v>438</v>
      </c>
      <c r="E117">
        <v>4</v>
      </c>
      <c r="F117">
        <v>4</v>
      </c>
      <c r="G117">
        <v>2458</v>
      </c>
      <c r="H117">
        <v>1923</v>
      </c>
      <c r="I117" s="2">
        <v>44893</v>
      </c>
      <c r="J117" t="s">
        <v>566</v>
      </c>
      <c r="K117" t="s">
        <v>571</v>
      </c>
      <c r="L117">
        <v>1175604</v>
      </c>
      <c r="M117">
        <v>478.28</v>
      </c>
      <c r="N117">
        <v>7</v>
      </c>
      <c r="O117">
        <v>30.305</v>
      </c>
      <c r="P117">
        <v>-97.792000000000002</v>
      </c>
      <c r="Q117" t="s">
        <v>578</v>
      </c>
    </row>
    <row r="118" spans="1:17" x14ac:dyDescent="0.3">
      <c r="A118" t="s">
        <v>133</v>
      </c>
      <c r="B118" t="s">
        <v>270</v>
      </c>
      <c r="C118" t="s">
        <v>304</v>
      </c>
      <c r="D118" t="s">
        <v>439</v>
      </c>
      <c r="E118">
        <v>5</v>
      </c>
      <c r="F118">
        <v>5</v>
      </c>
      <c r="G118">
        <v>2520</v>
      </c>
      <c r="H118">
        <v>2003</v>
      </c>
      <c r="I118" s="2">
        <v>43895</v>
      </c>
      <c r="J118" t="s">
        <v>568</v>
      </c>
      <c r="K118" t="s">
        <v>571</v>
      </c>
      <c r="L118">
        <v>1726857</v>
      </c>
      <c r="M118">
        <v>685.26</v>
      </c>
      <c r="N118">
        <v>44</v>
      </c>
      <c r="O118">
        <v>40.723999999999997</v>
      </c>
      <c r="P118">
        <v>-74.022000000000006</v>
      </c>
      <c r="Q118" t="s">
        <v>576</v>
      </c>
    </row>
    <row r="119" spans="1:17" x14ac:dyDescent="0.3">
      <c r="A119" t="s">
        <v>134</v>
      </c>
      <c r="B119" t="s">
        <v>273</v>
      </c>
      <c r="C119" t="s">
        <v>315</v>
      </c>
      <c r="D119" t="s">
        <v>440</v>
      </c>
      <c r="E119">
        <v>4</v>
      </c>
      <c r="F119">
        <v>3</v>
      </c>
      <c r="G119">
        <v>2769</v>
      </c>
      <c r="H119">
        <v>2004</v>
      </c>
      <c r="I119" s="2">
        <v>45577</v>
      </c>
      <c r="J119" t="s">
        <v>567</v>
      </c>
      <c r="K119" t="s">
        <v>572</v>
      </c>
      <c r="L119">
        <v>1914773</v>
      </c>
      <c r="M119">
        <v>691.5</v>
      </c>
      <c r="N119">
        <v>30</v>
      </c>
      <c r="O119">
        <v>45.43</v>
      </c>
      <c r="P119">
        <v>-122.684</v>
      </c>
      <c r="Q119" t="s">
        <v>576</v>
      </c>
    </row>
    <row r="120" spans="1:17" x14ac:dyDescent="0.3">
      <c r="A120" t="s">
        <v>135</v>
      </c>
      <c r="B120" t="s">
        <v>277</v>
      </c>
      <c r="C120" t="s">
        <v>309</v>
      </c>
      <c r="D120" t="s">
        <v>441</v>
      </c>
      <c r="E120">
        <v>3</v>
      </c>
      <c r="F120">
        <v>3</v>
      </c>
      <c r="G120">
        <v>2095</v>
      </c>
      <c r="H120">
        <v>1920</v>
      </c>
      <c r="I120" s="2">
        <v>44941</v>
      </c>
      <c r="J120" t="s">
        <v>570</v>
      </c>
      <c r="K120" t="s">
        <v>573</v>
      </c>
      <c r="L120">
        <v>1192027</v>
      </c>
      <c r="M120">
        <v>568.99</v>
      </c>
      <c r="N120">
        <v>34</v>
      </c>
      <c r="O120">
        <v>45.506999999999998</v>
      </c>
      <c r="P120">
        <v>-122.59099999999999</v>
      </c>
      <c r="Q120" t="s">
        <v>575</v>
      </c>
    </row>
    <row r="121" spans="1:17" x14ac:dyDescent="0.3">
      <c r="A121" t="s">
        <v>136</v>
      </c>
      <c r="B121" t="s">
        <v>269</v>
      </c>
      <c r="C121" t="s">
        <v>321</v>
      </c>
      <c r="D121" t="s">
        <v>442</v>
      </c>
      <c r="E121">
        <v>4</v>
      </c>
      <c r="F121">
        <v>4</v>
      </c>
      <c r="G121">
        <v>2328</v>
      </c>
      <c r="H121">
        <v>1964</v>
      </c>
      <c r="I121" s="2">
        <v>44066</v>
      </c>
      <c r="J121" t="s">
        <v>569</v>
      </c>
      <c r="K121" t="s">
        <v>574</v>
      </c>
      <c r="L121">
        <v>1431571</v>
      </c>
      <c r="M121">
        <v>614.94000000000005</v>
      </c>
      <c r="N121">
        <v>10</v>
      </c>
      <c r="O121">
        <v>39.715000000000003</v>
      </c>
      <c r="P121">
        <v>-105.084</v>
      </c>
    </row>
    <row r="122" spans="1:17" x14ac:dyDescent="0.3">
      <c r="A122" t="s">
        <v>137</v>
      </c>
      <c r="B122" t="s">
        <v>275</v>
      </c>
      <c r="C122" t="s">
        <v>295</v>
      </c>
      <c r="D122" t="s">
        <v>443</v>
      </c>
      <c r="E122">
        <v>1</v>
      </c>
      <c r="F122">
        <v>1</v>
      </c>
      <c r="G122">
        <v>1630</v>
      </c>
      <c r="H122">
        <v>2006</v>
      </c>
      <c r="I122" s="2">
        <v>43669</v>
      </c>
      <c r="J122" t="s">
        <v>569</v>
      </c>
      <c r="K122" t="s">
        <v>571</v>
      </c>
      <c r="L122">
        <v>746092</v>
      </c>
      <c r="M122">
        <v>457.73</v>
      </c>
      <c r="N122">
        <v>31</v>
      </c>
      <c r="O122">
        <v>30.170999999999999</v>
      </c>
      <c r="P122">
        <v>-97.823999999999998</v>
      </c>
      <c r="Q122" t="s">
        <v>576</v>
      </c>
    </row>
    <row r="123" spans="1:17" x14ac:dyDescent="0.3">
      <c r="A123" t="s">
        <v>138</v>
      </c>
      <c r="B123" t="s">
        <v>273</v>
      </c>
      <c r="C123" t="s">
        <v>315</v>
      </c>
      <c r="D123" t="s">
        <v>444</v>
      </c>
      <c r="E123">
        <v>5</v>
      </c>
      <c r="F123">
        <v>5</v>
      </c>
      <c r="G123">
        <v>2800</v>
      </c>
      <c r="H123">
        <v>1999</v>
      </c>
      <c r="I123" s="2">
        <v>44074</v>
      </c>
      <c r="J123" t="s">
        <v>568</v>
      </c>
      <c r="K123" t="s">
        <v>573</v>
      </c>
      <c r="L123">
        <v>2065281</v>
      </c>
      <c r="M123">
        <v>737.6</v>
      </c>
      <c r="N123">
        <v>22</v>
      </c>
      <c r="O123">
        <v>45.468000000000004</v>
      </c>
      <c r="P123">
        <v>-122.652</v>
      </c>
      <c r="Q123" t="s">
        <v>577</v>
      </c>
    </row>
    <row r="124" spans="1:17" x14ac:dyDescent="0.3">
      <c r="A124" t="s">
        <v>139</v>
      </c>
      <c r="B124" t="s">
        <v>267</v>
      </c>
      <c r="C124" t="s">
        <v>293</v>
      </c>
      <c r="D124" t="s">
        <v>445</v>
      </c>
      <c r="E124">
        <v>5</v>
      </c>
      <c r="F124">
        <v>5</v>
      </c>
      <c r="G124">
        <v>2756</v>
      </c>
      <c r="H124">
        <v>1980</v>
      </c>
      <c r="I124" s="2">
        <v>45456</v>
      </c>
      <c r="J124" t="s">
        <v>567</v>
      </c>
      <c r="K124" t="s">
        <v>572</v>
      </c>
      <c r="L124">
        <v>1587451</v>
      </c>
      <c r="M124">
        <v>576</v>
      </c>
      <c r="N124">
        <v>37</v>
      </c>
      <c r="O124">
        <v>37.728000000000002</v>
      </c>
      <c r="P124">
        <v>-122.43</v>
      </c>
      <c r="Q124" t="s">
        <v>576</v>
      </c>
    </row>
    <row r="125" spans="1:17" x14ac:dyDescent="0.3">
      <c r="A125" t="s">
        <v>140</v>
      </c>
      <c r="B125" t="s">
        <v>272</v>
      </c>
      <c r="C125" t="s">
        <v>298</v>
      </c>
      <c r="D125" t="s">
        <v>446</v>
      </c>
      <c r="E125">
        <v>1</v>
      </c>
      <c r="F125">
        <v>1</v>
      </c>
      <c r="G125">
        <v>1307</v>
      </c>
      <c r="H125">
        <v>1946</v>
      </c>
      <c r="I125" s="2">
        <v>45255</v>
      </c>
      <c r="J125" t="s">
        <v>570</v>
      </c>
      <c r="K125" t="s">
        <v>571</v>
      </c>
      <c r="L125">
        <v>600032</v>
      </c>
      <c r="M125">
        <v>459.09</v>
      </c>
      <c r="N125">
        <v>49</v>
      </c>
      <c r="O125">
        <v>25.858000000000001</v>
      </c>
      <c r="P125">
        <v>-80.179000000000002</v>
      </c>
      <c r="Q125" t="s">
        <v>578</v>
      </c>
    </row>
    <row r="126" spans="1:17" x14ac:dyDescent="0.3">
      <c r="A126" t="s">
        <v>141</v>
      </c>
      <c r="B126" t="s">
        <v>268</v>
      </c>
      <c r="C126" t="s">
        <v>303</v>
      </c>
      <c r="D126" t="s">
        <v>386</v>
      </c>
      <c r="E126">
        <v>3</v>
      </c>
      <c r="F126">
        <v>3</v>
      </c>
      <c r="G126">
        <v>2463</v>
      </c>
      <c r="H126">
        <v>1902</v>
      </c>
      <c r="I126" s="2">
        <v>43377</v>
      </c>
      <c r="J126" t="s">
        <v>568</v>
      </c>
      <c r="K126" t="s">
        <v>573</v>
      </c>
      <c r="L126">
        <v>1205346</v>
      </c>
      <c r="M126">
        <v>489.38</v>
      </c>
      <c r="N126">
        <v>99</v>
      </c>
      <c r="O126">
        <v>47.631</v>
      </c>
      <c r="P126">
        <v>-122.40900000000001</v>
      </c>
      <c r="Q126" t="s">
        <v>577</v>
      </c>
    </row>
    <row r="127" spans="1:17" x14ac:dyDescent="0.3">
      <c r="A127" t="s">
        <v>142</v>
      </c>
      <c r="B127" t="s">
        <v>275</v>
      </c>
      <c r="C127" t="s">
        <v>296</v>
      </c>
      <c r="D127" t="s">
        <v>447</v>
      </c>
      <c r="E127">
        <v>3</v>
      </c>
      <c r="F127">
        <v>3</v>
      </c>
      <c r="G127">
        <v>1908</v>
      </c>
      <c r="H127">
        <v>2004</v>
      </c>
      <c r="I127" s="2">
        <v>45004</v>
      </c>
      <c r="J127" t="s">
        <v>569</v>
      </c>
      <c r="K127" t="s">
        <v>571</v>
      </c>
      <c r="L127">
        <v>993174</v>
      </c>
      <c r="M127">
        <v>520.53</v>
      </c>
      <c r="N127">
        <v>40</v>
      </c>
      <c r="O127">
        <v>30.332000000000001</v>
      </c>
      <c r="P127">
        <v>-97.826999999999998</v>
      </c>
      <c r="Q127" t="s">
        <v>578</v>
      </c>
    </row>
    <row r="128" spans="1:17" x14ac:dyDescent="0.3">
      <c r="A128" t="s">
        <v>143</v>
      </c>
      <c r="B128" t="s">
        <v>276</v>
      </c>
      <c r="C128" t="s">
        <v>307</v>
      </c>
      <c r="D128" t="s">
        <v>448</v>
      </c>
      <c r="E128">
        <v>2</v>
      </c>
      <c r="F128">
        <v>1</v>
      </c>
      <c r="G128">
        <v>2347</v>
      </c>
      <c r="H128">
        <v>1940</v>
      </c>
      <c r="J128" t="s">
        <v>569</v>
      </c>
      <c r="K128" t="s">
        <v>574</v>
      </c>
      <c r="L128">
        <v>1004837</v>
      </c>
      <c r="M128">
        <v>428.14</v>
      </c>
      <c r="N128">
        <v>9</v>
      </c>
      <c r="O128">
        <v>41.889000000000003</v>
      </c>
      <c r="P128">
        <v>-87.668999999999997</v>
      </c>
      <c r="Q128" t="s">
        <v>579</v>
      </c>
    </row>
    <row r="129" spans="1:17" x14ac:dyDescent="0.3">
      <c r="A129" t="s">
        <v>144</v>
      </c>
      <c r="B129" t="s">
        <v>269</v>
      </c>
      <c r="C129" t="s">
        <v>321</v>
      </c>
      <c r="D129" t="s">
        <v>449</v>
      </c>
      <c r="E129">
        <v>3</v>
      </c>
      <c r="F129">
        <v>3</v>
      </c>
      <c r="G129">
        <v>1950</v>
      </c>
      <c r="H129">
        <v>2002</v>
      </c>
      <c r="I129" s="2">
        <v>44890</v>
      </c>
      <c r="J129" t="s">
        <v>569</v>
      </c>
      <c r="K129" t="s">
        <v>572</v>
      </c>
      <c r="L129">
        <v>910868</v>
      </c>
      <c r="M129">
        <v>467.11</v>
      </c>
      <c r="N129">
        <v>19</v>
      </c>
      <c r="O129">
        <v>39.819000000000003</v>
      </c>
      <c r="P129">
        <v>-105.01300000000001</v>
      </c>
      <c r="Q129" t="s">
        <v>575</v>
      </c>
    </row>
    <row r="130" spans="1:17" x14ac:dyDescent="0.3">
      <c r="A130" t="s">
        <v>145</v>
      </c>
      <c r="B130" t="s">
        <v>269</v>
      </c>
      <c r="C130" t="s">
        <v>322</v>
      </c>
      <c r="D130" t="s">
        <v>450</v>
      </c>
      <c r="E130">
        <v>3</v>
      </c>
      <c r="F130">
        <v>2</v>
      </c>
      <c r="G130">
        <v>1910</v>
      </c>
      <c r="H130">
        <v>1993</v>
      </c>
      <c r="I130" s="2">
        <v>43424</v>
      </c>
      <c r="J130" t="s">
        <v>569</v>
      </c>
      <c r="K130" t="s">
        <v>571</v>
      </c>
      <c r="L130">
        <v>1069780</v>
      </c>
      <c r="M130">
        <v>560.09</v>
      </c>
      <c r="N130">
        <v>45</v>
      </c>
      <c r="O130">
        <v>39.804000000000002</v>
      </c>
      <c r="P130">
        <v>-104.98099999999999</v>
      </c>
      <c r="Q130" t="s">
        <v>576</v>
      </c>
    </row>
    <row r="131" spans="1:17" x14ac:dyDescent="0.3">
      <c r="A131" t="s">
        <v>146</v>
      </c>
      <c r="B131" t="s">
        <v>269</v>
      </c>
      <c r="C131" t="s">
        <v>280</v>
      </c>
      <c r="D131" t="s">
        <v>451</v>
      </c>
      <c r="E131">
        <v>3</v>
      </c>
      <c r="F131">
        <v>3</v>
      </c>
      <c r="G131">
        <v>2569</v>
      </c>
      <c r="H131">
        <v>1991</v>
      </c>
      <c r="I131" s="2">
        <v>43783</v>
      </c>
      <c r="J131" t="s">
        <v>569</v>
      </c>
      <c r="K131" t="s">
        <v>571</v>
      </c>
      <c r="L131">
        <v>1518497</v>
      </c>
      <c r="M131">
        <v>591.08000000000004</v>
      </c>
      <c r="N131">
        <v>17</v>
      </c>
      <c r="O131">
        <v>39.648000000000003</v>
      </c>
      <c r="P131">
        <v>-104.916</v>
      </c>
      <c r="Q131" t="s">
        <v>576</v>
      </c>
    </row>
    <row r="132" spans="1:17" x14ac:dyDescent="0.3">
      <c r="A132" t="s">
        <v>147</v>
      </c>
      <c r="B132" t="s">
        <v>271</v>
      </c>
      <c r="C132" t="s">
        <v>283</v>
      </c>
      <c r="D132" t="s">
        <v>452</v>
      </c>
      <c r="E132">
        <v>1</v>
      </c>
      <c r="F132">
        <v>1</v>
      </c>
      <c r="G132">
        <v>1275</v>
      </c>
      <c r="H132">
        <v>1951</v>
      </c>
      <c r="I132" s="2">
        <v>45202</v>
      </c>
      <c r="J132" t="s">
        <v>567</v>
      </c>
      <c r="K132" t="s">
        <v>574</v>
      </c>
      <c r="L132">
        <v>577559</v>
      </c>
      <c r="M132">
        <v>452.99</v>
      </c>
      <c r="N132">
        <v>4</v>
      </c>
      <c r="O132">
        <v>42.289000000000001</v>
      </c>
      <c r="P132">
        <v>-71.037999999999997</v>
      </c>
      <c r="Q132" t="s">
        <v>578</v>
      </c>
    </row>
    <row r="133" spans="1:17" x14ac:dyDescent="0.3">
      <c r="A133" t="s">
        <v>148</v>
      </c>
      <c r="B133" t="s">
        <v>267</v>
      </c>
      <c r="C133" t="s">
        <v>311</v>
      </c>
      <c r="D133" t="s">
        <v>453</v>
      </c>
      <c r="E133">
        <v>3</v>
      </c>
      <c r="F133">
        <v>3</v>
      </c>
      <c r="G133">
        <v>2558</v>
      </c>
      <c r="H133">
        <v>1972</v>
      </c>
      <c r="I133" s="2">
        <v>45579</v>
      </c>
      <c r="J133" t="s">
        <v>567</v>
      </c>
      <c r="K133" t="s">
        <v>571</v>
      </c>
      <c r="L133">
        <v>1304608</v>
      </c>
      <c r="M133">
        <v>510.01</v>
      </c>
      <c r="N133">
        <v>20</v>
      </c>
      <c r="O133">
        <v>37.86</v>
      </c>
      <c r="P133">
        <v>-122.35599999999999</v>
      </c>
    </row>
    <row r="134" spans="1:17" x14ac:dyDescent="0.3">
      <c r="A134" t="s">
        <v>149</v>
      </c>
      <c r="B134" t="s">
        <v>273</v>
      </c>
      <c r="C134" t="s">
        <v>286</v>
      </c>
      <c r="D134" t="s">
        <v>454</v>
      </c>
      <c r="E134">
        <v>4</v>
      </c>
      <c r="F134">
        <v>4</v>
      </c>
      <c r="G134">
        <v>1972</v>
      </c>
      <c r="H134">
        <v>1935</v>
      </c>
      <c r="I134" s="2">
        <v>43565</v>
      </c>
      <c r="J134" t="s">
        <v>566</v>
      </c>
      <c r="K134" t="s">
        <v>572</v>
      </c>
      <c r="L134">
        <v>1404366</v>
      </c>
      <c r="M134">
        <v>712.15</v>
      </c>
      <c r="N134">
        <v>31</v>
      </c>
      <c r="O134">
        <v>45.52</v>
      </c>
      <c r="P134">
        <v>-122.703</v>
      </c>
      <c r="Q134" t="s">
        <v>577</v>
      </c>
    </row>
    <row r="135" spans="1:17" x14ac:dyDescent="0.3">
      <c r="A135" t="s">
        <v>150</v>
      </c>
      <c r="B135" t="s">
        <v>271</v>
      </c>
      <c r="C135" t="s">
        <v>290</v>
      </c>
      <c r="D135" t="s">
        <v>455</v>
      </c>
      <c r="E135">
        <v>2</v>
      </c>
      <c r="F135">
        <v>1</v>
      </c>
      <c r="G135">
        <v>2109</v>
      </c>
      <c r="H135">
        <v>1936</v>
      </c>
      <c r="I135" s="2">
        <v>43920</v>
      </c>
      <c r="J135" t="s">
        <v>566</v>
      </c>
      <c r="K135" t="s">
        <v>573</v>
      </c>
      <c r="L135">
        <v>889535</v>
      </c>
      <c r="M135">
        <v>421.78</v>
      </c>
      <c r="N135">
        <v>17</v>
      </c>
      <c r="O135">
        <v>42.274999999999999</v>
      </c>
      <c r="P135">
        <v>-71.125</v>
      </c>
      <c r="Q135" t="s">
        <v>579</v>
      </c>
    </row>
    <row r="136" spans="1:17" x14ac:dyDescent="0.3">
      <c r="A136" t="s">
        <v>151</v>
      </c>
      <c r="B136" t="s">
        <v>269</v>
      </c>
      <c r="C136" t="s">
        <v>280</v>
      </c>
      <c r="D136" t="s">
        <v>399</v>
      </c>
      <c r="E136">
        <v>1</v>
      </c>
      <c r="F136">
        <v>1</v>
      </c>
      <c r="G136">
        <v>1501</v>
      </c>
      <c r="H136">
        <v>1937</v>
      </c>
      <c r="I136" s="2">
        <v>43746</v>
      </c>
      <c r="J136" t="s">
        <v>567</v>
      </c>
      <c r="K136" t="s">
        <v>572</v>
      </c>
      <c r="L136">
        <v>678109</v>
      </c>
      <c r="M136">
        <v>451.77</v>
      </c>
      <c r="N136">
        <v>21</v>
      </c>
      <c r="O136">
        <v>39.741999999999997</v>
      </c>
      <c r="P136">
        <v>-105.066</v>
      </c>
      <c r="Q136" t="s">
        <v>575</v>
      </c>
    </row>
    <row r="137" spans="1:17" x14ac:dyDescent="0.3">
      <c r="A137" t="s">
        <v>152</v>
      </c>
      <c r="B137" t="s">
        <v>276</v>
      </c>
      <c r="C137" t="s">
        <v>301</v>
      </c>
      <c r="D137" t="s">
        <v>456</v>
      </c>
      <c r="E137">
        <v>1</v>
      </c>
      <c r="F137">
        <v>1</v>
      </c>
      <c r="G137">
        <v>1656</v>
      </c>
      <c r="H137">
        <v>1973</v>
      </c>
      <c r="I137" s="2">
        <v>45015</v>
      </c>
      <c r="J137" t="s">
        <v>570</v>
      </c>
      <c r="K137" t="s">
        <v>573</v>
      </c>
      <c r="L137">
        <v>611928</v>
      </c>
      <c r="M137">
        <v>369.52</v>
      </c>
      <c r="N137">
        <v>30</v>
      </c>
      <c r="O137">
        <v>41.957000000000001</v>
      </c>
      <c r="P137">
        <v>-87.706999999999994</v>
      </c>
      <c r="Q137" t="s">
        <v>578</v>
      </c>
    </row>
    <row r="138" spans="1:17" x14ac:dyDescent="0.3">
      <c r="A138" t="s">
        <v>153</v>
      </c>
      <c r="B138" t="s">
        <v>273</v>
      </c>
      <c r="C138" t="s">
        <v>285</v>
      </c>
      <c r="D138" t="s">
        <v>457</v>
      </c>
      <c r="E138">
        <v>4</v>
      </c>
      <c r="F138">
        <v>3</v>
      </c>
      <c r="G138">
        <v>2430</v>
      </c>
      <c r="H138">
        <v>1909</v>
      </c>
      <c r="I138" s="2">
        <v>44399</v>
      </c>
      <c r="J138" t="s">
        <v>566</v>
      </c>
      <c r="K138" t="s">
        <v>571</v>
      </c>
      <c r="L138">
        <v>1643043</v>
      </c>
      <c r="M138">
        <v>676.15</v>
      </c>
      <c r="N138">
        <v>56</v>
      </c>
      <c r="O138">
        <v>45.555999999999997</v>
      </c>
      <c r="P138">
        <v>-122.711</v>
      </c>
      <c r="Q138" t="s">
        <v>577</v>
      </c>
    </row>
    <row r="139" spans="1:17" x14ac:dyDescent="0.3">
      <c r="A139" t="s">
        <v>154</v>
      </c>
      <c r="B139" t="s">
        <v>275</v>
      </c>
      <c r="C139" t="s">
        <v>295</v>
      </c>
      <c r="D139" t="s">
        <v>458</v>
      </c>
      <c r="E139">
        <v>4</v>
      </c>
      <c r="F139">
        <v>4</v>
      </c>
      <c r="G139">
        <v>2119</v>
      </c>
      <c r="H139">
        <v>2011</v>
      </c>
      <c r="I139" s="2">
        <v>43609</v>
      </c>
      <c r="J139" t="s">
        <v>570</v>
      </c>
      <c r="K139" t="s">
        <v>573</v>
      </c>
      <c r="L139">
        <v>998632</v>
      </c>
      <c r="M139">
        <v>471.28</v>
      </c>
      <c r="N139">
        <v>73</v>
      </c>
      <c r="O139">
        <v>30.202999999999999</v>
      </c>
      <c r="P139">
        <v>-97.775000000000006</v>
      </c>
      <c r="Q139" t="s">
        <v>579</v>
      </c>
    </row>
    <row r="140" spans="1:17" x14ac:dyDescent="0.3">
      <c r="A140" t="s">
        <v>155</v>
      </c>
      <c r="B140" t="s">
        <v>273</v>
      </c>
      <c r="C140" t="s">
        <v>286</v>
      </c>
      <c r="D140" t="s">
        <v>459</v>
      </c>
      <c r="E140">
        <v>1</v>
      </c>
      <c r="F140">
        <v>1</v>
      </c>
      <c r="G140">
        <v>1583</v>
      </c>
      <c r="H140">
        <v>1981</v>
      </c>
      <c r="I140" s="2">
        <v>44225</v>
      </c>
      <c r="J140" t="s">
        <v>567</v>
      </c>
      <c r="K140" t="s">
        <v>571</v>
      </c>
      <c r="L140">
        <v>775939</v>
      </c>
      <c r="M140">
        <v>490.17</v>
      </c>
      <c r="N140">
        <v>81</v>
      </c>
      <c r="O140">
        <v>45.542999999999999</v>
      </c>
      <c r="P140">
        <v>-122.761</v>
      </c>
      <c r="Q140" t="s">
        <v>579</v>
      </c>
    </row>
    <row r="141" spans="1:17" x14ac:dyDescent="0.3">
      <c r="A141" t="s">
        <v>156</v>
      </c>
      <c r="B141" t="s">
        <v>274</v>
      </c>
      <c r="C141" t="s">
        <v>320</v>
      </c>
      <c r="D141" t="s">
        <v>460</v>
      </c>
      <c r="E141">
        <v>2</v>
      </c>
      <c r="F141">
        <v>1</v>
      </c>
      <c r="G141">
        <v>1829</v>
      </c>
      <c r="H141">
        <v>1992</v>
      </c>
      <c r="J141" t="s">
        <v>570</v>
      </c>
      <c r="K141" t="s">
        <v>573</v>
      </c>
      <c r="L141">
        <v>1166441</v>
      </c>
      <c r="M141">
        <v>637.75</v>
      </c>
      <c r="N141">
        <v>37</v>
      </c>
      <c r="O141">
        <v>34.122999999999998</v>
      </c>
      <c r="P141">
        <v>-118.324</v>
      </c>
      <c r="Q141" t="s">
        <v>579</v>
      </c>
    </row>
    <row r="142" spans="1:17" x14ac:dyDescent="0.3">
      <c r="A142" t="s">
        <v>157</v>
      </c>
      <c r="B142" t="s">
        <v>271</v>
      </c>
      <c r="C142" t="s">
        <v>299</v>
      </c>
      <c r="D142" t="s">
        <v>461</v>
      </c>
      <c r="E142">
        <v>5</v>
      </c>
      <c r="F142">
        <v>5</v>
      </c>
      <c r="G142">
        <v>3215</v>
      </c>
      <c r="H142">
        <v>1981</v>
      </c>
      <c r="I142" s="2">
        <v>45140</v>
      </c>
      <c r="J142" t="s">
        <v>570</v>
      </c>
      <c r="K142" t="s">
        <v>571</v>
      </c>
      <c r="L142">
        <v>2232484</v>
      </c>
      <c r="M142">
        <v>694.4</v>
      </c>
      <c r="N142">
        <v>27</v>
      </c>
      <c r="O142">
        <v>42.451000000000001</v>
      </c>
      <c r="P142">
        <v>-71.063000000000002</v>
      </c>
      <c r="Q142" t="s">
        <v>579</v>
      </c>
    </row>
    <row r="143" spans="1:17" x14ac:dyDescent="0.3">
      <c r="A143" t="s">
        <v>158</v>
      </c>
      <c r="B143" t="s">
        <v>270</v>
      </c>
      <c r="C143" t="s">
        <v>314</v>
      </c>
      <c r="D143" t="s">
        <v>462</v>
      </c>
      <c r="E143">
        <v>1</v>
      </c>
      <c r="F143">
        <v>1</v>
      </c>
      <c r="G143">
        <v>1743</v>
      </c>
      <c r="H143">
        <v>1953</v>
      </c>
      <c r="I143" s="2">
        <v>45003</v>
      </c>
      <c r="J143" t="s">
        <v>567</v>
      </c>
      <c r="K143" t="s">
        <v>571</v>
      </c>
      <c r="L143">
        <v>911123</v>
      </c>
      <c r="M143">
        <v>522.73</v>
      </c>
      <c r="N143">
        <v>76</v>
      </c>
      <c r="O143">
        <v>40.639000000000003</v>
      </c>
      <c r="P143">
        <v>-73.938000000000002</v>
      </c>
      <c r="Q143" t="s">
        <v>576</v>
      </c>
    </row>
    <row r="144" spans="1:17" x14ac:dyDescent="0.3">
      <c r="A144" t="s">
        <v>159</v>
      </c>
      <c r="B144" t="s">
        <v>272</v>
      </c>
      <c r="C144" t="s">
        <v>298</v>
      </c>
      <c r="D144" t="s">
        <v>463</v>
      </c>
      <c r="E144">
        <v>3</v>
      </c>
      <c r="G144">
        <v>1859</v>
      </c>
      <c r="H144">
        <v>1913</v>
      </c>
      <c r="I144" s="2">
        <v>44091</v>
      </c>
      <c r="J144" t="s">
        <v>569</v>
      </c>
      <c r="K144" t="s">
        <v>573</v>
      </c>
      <c r="L144">
        <v>1110736</v>
      </c>
      <c r="M144">
        <v>597.49</v>
      </c>
      <c r="N144">
        <v>66</v>
      </c>
      <c r="O144">
        <v>25.75</v>
      </c>
      <c r="P144">
        <v>-80.262</v>
      </c>
    </row>
    <row r="145" spans="1:17" x14ac:dyDescent="0.3">
      <c r="A145" t="s">
        <v>160</v>
      </c>
      <c r="B145" t="s">
        <v>274</v>
      </c>
      <c r="C145" t="s">
        <v>292</v>
      </c>
      <c r="D145" t="s">
        <v>464</v>
      </c>
      <c r="E145">
        <v>2</v>
      </c>
      <c r="F145">
        <v>1</v>
      </c>
      <c r="G145">
        <v>1360</v>
      </c>
      <c r="H145">
        <v>2015</v>
      </c>
      <c r="I145" s="2">
        <v>44442</v>
      </c>
      <c r="J145" t="s">
        <v>570</v>
      </c>
      <c r="K145" t="s">
        <v>572</v>
      </c>
      <c r="M145">
        <v>525.99</v>
      </c>
      <c r="N145">
        <v>26</v>
      </c>
      <c r="O145">
        <v>33.988</v>
      </c>
      <c r="P145">
        <v>-118.30800000000001</v>
      </c>
      <c r="Q145" t="s">
        <v>577</v>
      </c>
    </row>
    <row r="146" spans="1:17" x14ac:dyDescent="0.3">
      <c r="A146" t="s">
        <v>161</v>
      </c>
      <c r="B146" t="s">
        <v>271</v>
      </c>
      <c r="C146" t="s">
        <v>290</v>
      </c>
      <c r="D146" t="s">
        <v>465</v>
      </c>
      <c r="E146">
        <v>1</v>
      </c>
      <c r="F146">
        <v>1</v>
      </c>
      <c r="G146">
        <v>1433</v>
      </c>
      <c r="H146">
        <v>1950</v>
      </c>
      <c r="I146" s="2">
        <v>44973</v>
      </c>
      <c r="J146" t="s">
        <v>567</v>
      </c>
      <c r="K146" t="s">
        <v>573</v>
      </c>
      <c r="L146">
        <v>670871</v>
      </c>
      <c r="M146">
        <v>468.16</v>
      </c>
      <c r="N146">
        <v>80</v>
      </c>
      <c r="O146">
        <v>42.331000000000003</v>
      </c>
      <c r="P146">
        <v>-71.150000000000006</v>
      </c>
      <c r="Q146" t="s">
        <v>578</v>
      </c>
    </row>
    <row r="147" spans="1:17" x14ac:dyDescent="0.3">
      <c r="A147" t="s">
        <v>162</v>
      </c>
      <c r="B147" t="s">
        <v>271</v>
      </c>
      <c r="C147" t="s">
        <v>287</v>
      </c>
      <c r="D147" t="s">
        <v>466</v>
      </c>
      <c r="E147">
        <v>1</v>
      </c>
      <c r="F147">
        <v>1</v>
      </c>
      <c r="G147">
        <v>1519</v>
      </c>
      <c r="H147">
        <v>1955</v>
      </c>
      <c r="I147" s="2">
        <v>44184</v>
      </c>
      <c r="J147" t="s">
        <v>568</v>
      </c>
      <c r="K147" t="s">
        <v>572</v>
      </c>
      <c r="L147">
        <v>740682</v>
      </c>
      <c r="M147">
        <v>487.61</v>
      </c>
      <c r="N147">
        <v>6</v>
      </c>
      <c r="O147">
        <v>42.332999999999998</v>
      </c>
      <c r="P147">
        <v>-71.08</v>
      </c>
      <c r="Q147" t="s">
        <v>577</v>
      </c>
    </row>
    <row r="148" spans="1:17" x14ac:dyDescent="0.3">
      <c r="A148" t="s">
        <v>163</v>
      </c>
      <c r="B148" t="s">
        <v>269</v>
      </c>
      <c r="C148" t="s">
        <v>322</v>
      </c>
      <c r="D148" t="s">
        <v>467</v>
      </c>
      <c r="E148">
        <v>3</v>
      </c>
      <c r="F148">
        <v>3</v>
      </c>
      <c r="G148">
        <v>1674</v>
      </c>
      <c r="H148">
        <v>1964</v>
      </c>
      <c r="I148" s="2">
        <v>45353</v>
      </c>
      <c r="J148" t="s">
        <v>568</v>
      </c>
      <c r="K148" t="s">
        <v>572</v>
      </c>
      <c r="L148">
        <v>926866</v>
      </c>
      <c r="M148">
        <v>553.67999999999995</v>
      </c>
      <c r="N148">
        <v>46</v>
      </c>
      <c r="O148">
        <v>39.765000000000001</v>
      </c>
      <c r="P148">
        <v>-104.968</v>
      </c>
      <c r="Q148" t="s">
        <v>575</v>
      </c>
    </row>
    <row r="149" spans="1:17" x14ac:dyDescent="0.3">
      <c r="A149" t="s">
        <v>164</v>
      </c>
      <c r="B149" t="s">
        <v>269</v>
      </c>
      <c r="C149" t="s">
        <v>280</v>
      </c>
      <c r="D149" t="s">
        <v>468</v>
      </c>
      <c r="E149">
        <v>5</v>
      </c>
      <c r="F149">
        <v>4</v>
      </c>
      <c r="G149">
        <v>2692</v>
      </c>
      <c r="H149">
        <v>1996</v>
      </c>
      <c r="I149" s="2">
        <v>43916</v>
      </c>
      <c r="J149" t="s">
        <v>570</v>
      </c>
      <c r="K149" t="s">
        <v>571</v>
      </c>
      <c r="L149">
        <v>1515818</v>
      </c>
      <c r="M149">
        <v>563.08000000000004</v>
      </c>
      <c r="N149">
        <v>32</v>
      </c>
      <c r="O149">
        <v>39.74</v>
      </c>
      <c r="P149">
        <v>-105.081</v>
      </c>
      <c r="Q149" t="s">
        <v>575</v>
      </c>
    </row>
    <row r="150" spans="1:17" x14ac:dyDescent="0.3">
      <c r="A150" t="s">
        <v>165</v>
      </c>
      <c r="B150" t="s">
        <v>270</v>
      </c>
      <c r="C150" t="s">
        <v>281</v>
      </c>
      <c r="D150" t="s">
        <v>469</v>
      </c>
      <c r="E150">
        <v>4</v>
      </c>
      <c r="F150">
        <v>4</v>
      </c>
      <c r="G150">
        <v>2074</v>
      </c>
      <c r="H150">
        <v>2014</v>
      </c>
      <c r="I150" s="2">
        <v>43673</v>
      </c>
      <c r="J150" t="s">
        <v>568</v>
      </c>
      <c r="K150" t="s">
        <v>572</v>
      </c>
      <c r="L150">
        <v>1397142</v>
      </c>
      <c r="M150">
        <v>673.65</v>
      </c>
      <c r="N150">
        <v>45</v>
      </c>
      <c r="O150">
        <v>40.673999999999999</v>
      </c>
      <c r="P150">
        <v>-74.031000000000006</v>
      </c>
      <c r="Q150" t="s">
        <v>577</v>
      </c>
    </row>
    <row r="151" spans="1:17" x14ac:dyDescent="0.3">
      <c r="A151" t="s">
        <v>166</v>
      </c>
      <c r="B151" t="s">
        <v>274</v>
      </c>
      <c r="C151" t="s">
        <v>312</v>
      </c>
      <c r="D151" t="s">
        <v>470</v>
      </c>
      <c r="E151">
        <v>5</v>
      </c>
      <c r="F151">
        <v>4</v>
      </c>
      <c r="G151">
        <v>2465</v>
      </c>
      <c r="H151">
        <v>1968</v>
      </c>
      <c r="I151" s="2">
        <v>45406</v>
      </c>
      <c r="J151" t="s">
        <v>568</v>
      </c>
      <c r="K151" t="s">
        <v>571</v>
      </c>
      <c r="L151">
        <v>1759787</v>
      </c>
      <c r="M151">
        <v>713.91</v>
      </c>
      <c r="N151">
        <v>3</v>
      </c>
      <c r="O151">
        <v>33.953000000000003</v>
      </c>
      <c r="P151">
        <v>-118.274</v>
      </c>
    </row>
    <row r="152" spans="1:17" x14ac:dyDescent="0.3">
      <c r="A152" t="s">
        <v>167</v>
      </c>
      <c r="B152" t="s">
        <v>271</v>
      </c>
      <c r="C152" t="s">
        <v>283</v>
      </c>
      <c r="D152" t="s">
        <v>471</v>
      </c>
      <c r="E152">
        <v>5</v>
      </c>
      <c r="F152">
        <v>5</v>
      </c>
      <c r="G152">
        <v>2684</v>
      </c>
      <c r="H152">
        <v>1983</v>
      </c>
      <c r="I152" s="2">
        <v>45466</v>
      </c>
      <c r="J152" t="s">
        <v>567</v>
      </c>
      <c r="K152" t="s">
        <v>572</v>
      </c>
      <c r="L152">
        <v>1810822</v>
      </c>
      <c r="M152">
        <v>674.67</v>
      </c>
      <c r="N152">
        <v>5</v>
      </c>
      <c r="O152">
        <v>42.377000000000002</v>
      </c>
      <c r="P152">
        <v>-71.126000000000005</v>
      </c>
      <c r="Q152" t="s">
        <v>579</v>
      </c>
    </row>
    <row r="153" spans="1:17" x14ac:dyDescent="0.3">
      <c r="A153" t="s">
        <v>168</v>
      </c>
      <c r="B153" t="s">
        <v>272</v>
      </c>
      <c r="C153" t="s">
        <v>298</v>
      </c>
      <c r="D153" t="s">
        <v>472</v>
      </c>
      <c r="E153">
        <v>2</v>
      </c>
      <c r="F153">
        <v>2</v>
      </c>
      <c r="G153">
        <v>1926</v>
      </c>
      <c r="H153">
        <v>1989</v>
      </c>
      <c r="I153" s="2">
        <v>43882</v>
      </c>
      <c r="J153" t="s">
        <v>566</v>
      </c>
      <c r="K153" t="s">
        <v>571</v>
      </c>
      <c r="L153">
        <v>948276</v>
      </c>
      <c r="M153">
        <v>492.36</v>
      </c>
      <c r="N153">
        <v>11</v>
      </c>
      <c r="O153">
        <v>25.744</v>
      </c>
      <c r="P153">
        <v>-80.206999999999994</v>
      </c>
      <c r="Q153" t="s">
        <v>575</v>
      </c>
    </row>
    <row r="154" spans="1:17" x14ac:dyDescent="0.3">
      <c r="A154" t="s">
        <v>169</v>
      </c>
      <c r="B154" t="s">
        <v>274</v>
      </c>
      <c r="C154" t="s">
        <v>292</v>
      </c>
      <c r="D154" t="s">
        <v>473</v>
      </c>
      <c r="E154">
        <v>1</v>
      </c>
      <c r="F154">
        <v>1</v>
      </c>
      <c r="G154">
        <v>1473</v>
      </c>
      <c r="H154">
        <v>1966</v>
      </c>
      <c r="I154" s="2">
        <v>45398</v>
      </c>
      <c r="J154" t="s">
        <v>568</v>
      </c>
      <c r="K154" t="s">
        <v>574</v>
      </c>
      <c r="L154">
        <v>713885</v>
      </c>
      <c r="M154">
        <v>484.65</v>
      </c>
      <c r="N154">
        <v>18</v>
      </c>
      <c r="O154">
        <v>34.045999999999999</v>
      </c>
      <c r="P154">
        <v>-118.265</v>
      </c>
      <c r="Q154" t="s">
        <v>575</v>
      </c>
    </row>
    <row r="155" spans="1:17" x14ac:dyDescent="0.3">
      <c r="A155" t="s">
        <v>170</v>
      </c>
      <c r="B155" t="s">
        <v>269</v>
      </c>
      <c r="C155" t="s">
        <v>322</v>
      </c>
      <c r="D155" t="s">
        <v>474</v>
      </c>
      <c r="E155">
        <v>3</v>
      </c>
      <c r="F155">
        <v>2</v>
      </c>
      <c r="G155">
        <v>1801</v>
      </c>
      <c r="H155">
        <v>2011</v>
      </c>
      <c r="I155" s="2">
        <v>45599</v>
      </c>
      <c r="J155" t="s">
        <v>569</v>
      </c>
      <c r="K155" t="s">
        <v>573</v>
      </c>
      <c r="L155">
        <v>1130154</v>
      </c>
      <c r="M155">
        <v>627.51</v>
      </c>
      <c r="N155">
        <v>36</v>
      </c>
      <c r="O155">
        <v>39.689</v>
      </c>
      <c r="P155">
        <v>-104.97799999999999</v>
      </c>
      <c r="Q155" t="s">
        <v>575</v>
      </c>
    </row>
    <row r="156" spans="1:17" x14ac:dyDescent="0.3">
      <c r="A156" t="s">
        <v>171</v>
      </c>
      <c r="B156" t="s">
        <v>276</v>
      </c>
      <c r="C156" t="s">
        <v>301</v>
      </c>
      <c r="D156" t="s">
        <v>475</v>
      </c>
      <c r="E156">
        <v>3</v>
      </c>
      <c r="F156">
        <v>3</v>
      </c>
      <c r="G156">
        <v>1925</v>
      </c>
      <c r="H156">
        <v>1971</v>
      </c>
      <c r="I156" s="2">
        <v>44279</v>
      </c>
      <c r="J156" t="s">
        <v>566</v>
      </c>
      <c r="K156" t="s">
        <v>571</v>
      </c>
      <c r="L156">
        <v>996996</v>
      </c>
      <c r="M156">
        <v>517.91999999999996</v>
      </c>
      <c r="N156">
        <v>31</v>
      </c>
      <c r="O156">
        <v>41.889000000000003</v>
      </c>
      <c r="P156">
        <v>-87.540999999999997</v>
      </c>
      <c r="Q156" t="s">
        <v>578</v>
      </c>
    </row>
    <row r="157" spans="1:17" x14ac:dyDescent="0.3">
      <c r="A157" t="s">
        <v>172</v>
      </c>
      <c r="B157" t="s">
        <v>275</v>
      </c>
      <c r="C157" t="s">
        <v>308</v>
      </c>
      <c r="D157" t="s">
        <v>476</v>
      </c>
      <c r="E157">
        <v>1</v>
      </c>
      <c r="F157">
        <v>1</v>
      </c>
      <c r="G157">
        <v>1445</v>
      </c>
      <c r="H157">
        <v>1991</v>
      </c>
      <c r="I157" s="2">
        <v>44519</v>
      </c>
      <c r="J157" t="s">
        <v>569</v>
      </c>
      <c r="K157" t="s">
        <v>571</v>
      </c>
      <c r="L157">
        <v>584854</v>
      </c>
      <c r="M157">
        <v>404.74</v>
      </c>
      <c r="N157">
        <v>57</v>
      </c>
      <c r="O157">
        <v>30.318999999999999</v>
      </c>
      <c r="P157">
        <v>-97.796999999999997</v>
      </c>
      <c r="Q157" t="s">
        <v>577</v>
      </c>
    </row>
    <row r="158" spans="1:17" x14ac:dyDescent="0.3">
      <c r="A158" t="s">
        <v>173</v>
      </c>
      <c r="B158" t="s">
        <v>271</v>
      </c>
      <c r="C158" t="s">
        <v>299</v>
      </c>
      <c r="D158" t="s">
        <v>477</v>
      </c>
      <c r="E158">
        <v>1</v>
      </c>
      <c r="F158">
        <v>1</v>
      </c>
      <c r="G158">
        <v>1367</v>
      </c>
      <c r="H158">
        <v>1975</v>
      </c>
      <c r="I158" s="2">
        <v>44094</v>
      </c>
      <c r="J158" t="s">
        <v>566</v>
      </c>
      <c r="K158" t="s">
        <v>571</v>
      </c>
      <c r="L158">
        <v>552050</v>
      </c>
      <c r="M158">
        <v>403.84</v>
      </c>
      <c r="N158">
        <v>26</v>
      </c>
      <c r="O158">
        <v>42.366</v>
      </c>
      <c r="P158">
        <v>-71.031999999999996</v>
      </c>
    </row>
    <row r="159" spans="1:17" x14ac:dyDescent="0.3">
      <c r="A159" t="s">
        <v>174</v>
      </c>
      <c r="B159" t="s">
        <v>269</v>
      </c>
      <c r="C159" t="s">
        <v>288</v>
      </c>
      <c r="D159" t="s">
        <v>478</v>
      </c>
      <c r="E159">
        <v>1</v>
      </c>
      <c r="F159">
        <v>1</v>
      </c>
      <c r="G159">
        <v>925</v>
      </c>
      <c r="H159">
        <v>1917</v>
      </c>
      <c r="I159" s="2">
        <v>45355</v>
      </c>
      <c r="J159" t="s">
        <v>567</v>
      </c>
      <c r="K159" t="s">
        <v>571</v>
      </c>
      <c r="L159">
        <v>340164</v>
      </c>
      <c r="M159">
        <v>367.74</v>
      </c>
      <c r="N159">
        <v>76</v>
      </c>
      <c r="O159">
        <v>39.826999999999998</v>
      </c>
      <c r="P159">
        <v>-104.914</v>
      </c>
      <c r="Q159" t="s">
        <v>578</v>
      </c>
    </row>
    <row r="160" spans="1:17" x14ac:dyDescent="0.3">
      <c r="A160" t="s">
        <v>175</v>
      </c>
      <c r="B160" t="s">
        <v>271</v>
      </c>
      <c r="C160" t="s">
        <v>313</v>
      </c>
      <c r="D160" t="s">
        <v>479</v>
      </c>
      <c r="E160">
        <v>3</v>
      </c>
      <c r="F160">
        <v>2</v>
      </c>
      <c r="G160">
        <v>2511</v>
      </c>
      <c r="H160">
        <v>2016</v>
      </c>
      <c r="I160" s="2">
        <v>45452</v>
      </c>
      <c r="J160" t="s">
        <v>567</v>
      </c>
      <c r="K160" t="s">
        <v>571</v>
      </c>
      <c r="L160">
        <v>1291582</v>
      </c>
      <c r="M160">
        <v>514.37</v>
      </c>
      <c r="N160">
        <v>52</v>
      </c>
      <c r="O160">
        <v>42.405000000000001</v>
      </c>
      <c r="P160">
        <v>-70.972999999999999</v>
      </c>
      <c r="Q160" t="s">
        <v>575</v>
      </c>
    </row>
    <row r="161" spans="1:17" x14ac:dyDescent="0.3">
      <c r="A161" t="s">
        <v>176</v>
      </c>
      <c r="B161" t="s">
        <v>268</v>
      </c>
      <c r="C161" t="s">
        <v>303</v>
      </c>
      <c r="D161" t="s">
        <v>480</v>
      </c>
      <c r="E161">
        <v>4</v>
      </c>
      <c r="F161">
        <v>4</v>
      </c>
      <c r="G161">
        <v>2478</v>
      </c>
      <c r="H161">
        <v>1995</v>
      </c>
      <c r="I161" s="2">
        <v>43254</v>
      </c>
      <c r="J161" t="s">
        <v>566</v>
      </c>
      <c r="K161" t="s">
        <v>571</v>
      </c>
      <c r="L161">
        <v>1542764</v>
      </c>
      <c r="M161">
        <v>622.58000000000004</v>
      </c>
      <c r="N161">
        <v>68</v>
      </c>
      <c r="O161">
        <v>47.621000000000002</v>
      </c>
      <c r="P161">
        <v>-122.244</v>
      </c>
      <c r="Q161" t="s">
        <v>576</v>
      </c>
    </row>
    <row r="162" spans="1:17" x14ac:dyDescent="0.3">
      <c r="A162" t="s">
        <v>177</v>
      </c>
      <c r="B162" t="s">
        <v>273</v>
      </c>
      <c r="C162" t="s">
        <v>315</v>
      </c>
      <c r="D162" t="s">
        <v>481</v>
      </c>
      <c r="E162">
        <v>4</v>
      </c>
      <c r="F162">
        <v>3</v>
      </c>
      <c r="G162">
        <v>2368</v>
      </c>
      <c r="H162">
        <v>1917</v>
      </c>
      <c r="I162" s="2">
        <v>45018</v>
      </c>
      <c r="J162" t="s">
        <v>568</v>
      </c>
      <c r="K162" t="s">
        <v>573</v>
      </c>
      <c r="L162">
        <v>1485940</v>
      </c>
      <c r="M162">
        <v>627.51</v>
      </c>
      <c r="N162">
        <v>13</v>
      </c>
      <c r="O162">
        <v>45.442999999999998</v>
      </c>
      <c r="P162">
        <v>-122.748</v>
      </c>
      <c r="Q162" t="s">
        <v>578</v>
      </c>
    </row>
    <row r="163" spans="1:17" x14ac:dyDescent="0.3">
      <c r="A163" t="s">
        <v>178</v>
      </c>
      <c r="B163" t="s">
        <v>275</v>
      </c>
      <c r="C163" t="s">
        <v>296</v>
      </c>
      <c r="D163" t="s">
        <v>482</v>
      </c>
      <c r="E163">
        <v>3</v>
      </c>
      <c r="F163">
        <v>2</v>
      </c>
      <c r="G163">
        <v>2151</v>
      </c>
      <c r="H163">
        <v>1972</v>
      </c>
      <c r="I163" s="2">
        <v>43819</v>
      </c>
      <c r="J163" t="s">
        <v>570</v>
      </c>
      <c r="K163" t="s">
        <v>572</v>
      </c>
      <c r="L163">
        <v>982119</v>
      </c>
      <c r="M163">
        <v>456.59</v>
      </c>
      <c r="N163">
        <v>7</v>
      </c>
      <c r="O163">
        <v>30.349</v>
      </c>
      <c r="P163">
        <v>-97.674999999999997</v>
      </c>
      <c r="Q163" t="s">
        <v>577</v>
      </c>
    </row>
    <row r="164" spans="1:17" x14ac:dyDescent="0.3">
      <c r="A164" t="s">
        <v>179</v>
      </c>
      <c r="B164" t="s">
        <v>272</v>
      </c>
      <c r="D164" t="s">
        <v>483</v>
      </c>
      <c r="E164">
        <v>2</v>
      </c>
      <c r="F164">
        <v>1</v>
      </c>
      <c r="G164">
        <v>1638</v>
      </c>
      <c r="H164">
        <v>1961</v>
      </c>
      <c r="I164" s="2">
        <v>44117</v>
      </c>
      <c r="J164" t="s">
        <v>566</v>
      </c>
      <c r="K164" t="s">
        <v>571</v>
      </c>
      <c r="L164">
        <v>782533</v>
      </c>
      <c r="M164">
        <v>477.74</v>
      </c>
      <c r="N164">
        <v>85</v>
      </c>
      <c r="O164">
        <v>25.707000000000001</v>
      </c>
      <c r="P164">
        <v>-80.138999999999996</v>
      </c>
      <c r="Q164" t="s">
        <v>576</v>
      </c>
    </row>
    <row r="165" spans="1:17" x14ac:dyDescent="0.3">
      <c r="A165" t="s">
        <v>180</v>
      </c>
      <c r="B165" t="s">
        <v>274</v>
      </c>
      <c r="C165" t="s">
        <v>297</v>
      </c>
      <c r="D165" t="s">
        <v>484</v>
      </c>
      <c r="E165">
        <v>3</v>
      </c>
      <c r="F165">
        <v>2</v>
      </c>
      <c r="G165">
        <v>2320</v>
      </c>
      <c r="H165">
        <v>1988</v>
      </c>
      <c r="I165" s="2">
        <v>43355</v>
      </c>
      <c r="J165" t="s">
        <v>566</v>
      </c>
      <c r="K165" t="s">
        <v>571</v>
      </c>
      <c r="L165">
        <v>1457086</v>
      </c>
      <c r="M165">
        <v>628.04999999999995</v>
      </c>
      <c r="N165">
        <v>79</v>
      </c>
      <c r="O165">
        <v>33.981999999999999</v>
      </c>
      <c r="P165">
        <v>-118.203</v>
      </c>
      <c r="Q165" t="s">
        <v>579</v>
      </c>
    </row>
    <row r="166" spans="1:17" x14ac:dyDescent="0.3">
      <c r="A166" t="s">
        <v>181</v>
      </c>
      <c r="B166" t="s">
        <v>267</v>
      </c>
      <c r="C166" t="s">
        <v>285</v>
      </c>
      <c r="D166" t="s">
        <v>485</v>
      </c>
      <c r="E166">
        <v>3</v>
      </c>
      <c r="F166">
        <v>2</v>
      </c>
      <c r="G166">
        <v>2119</v>
      </c>
      <c r="H166">
        <v>1928</v>
      </c>
      <c r="I166" s="2">
        <v>45059</v>
      </c>
      <c r="J166" t="s">
        <v>567</v>
      </c>
      <c r="K166" t="s">
        <v>571</v>
      </c>
      <c r="L166">
        <v>912637</v>
      </c>
      <c r="M166">
        <v>430.69</v>
      </c>
      <c r="N166">
        <v>80</v>
      </c>
      <c r="O166">
        <v>37.868000000000002</v>
      </c>
      <c r="P166">
        <v>-122.355</v>
      </c>
      <c r="Q166" t="s">
        <v>579</v>
      </c>
    </row>
    <row r="167" spans="1:17" x14ac:dyDescent="0.3">
      <c r="A167" t="s">
        <v>182</v>
      </c>
      <c r="B167" t="s">
        <v>273</v>
      </c>
      <c r="C167" t="s">
        <v>289</v>
      </c>
      <c r="D167" t="s">
        <v>486</v>
      </c>
      <c r="E167">
        <v>2</v>
      </c>
      <c r="F167">
        <v>1</v>
      </c>
      <c r="G167">
        <v>1935</v>
      </c>
      <c r="H167">
        <v>1976</v>
      </c>
      <c r="I167" s="2">
        <v>45253</v>
      </c>
      <c r="J167" t="s">
        <v>569</v>
      </c>
      <c r="K167" t="s">
        <v>571</v>
      </c>
      <c r="L167">
        <v>989630</v>
      </c>
      <c r="M167">
        <v>511.44</v>
      </c>
      <c r="N167">
        <v>29</v>
      </c>
      <c r="O167">
        <v>45.491999999999997</v>
      </c>
      <c r="P167">
        <v>-122.59699999999999</v>
      </c>
    </row>
    <row r="168" spans="1:17" x14ac:dyDescent="0.3">
      <c r="A168" t="s">
        <v>183</v>
      </c>
      <c r="B168" t="s">
        <v>273</v>
      </c>
      <c r="C168" t="s">
        <v>289</v>
      </c>
      <c r="D168" t="s">
        <v>487</v>
      </c>
      <c r="E168">
        <v>5</v>
      </c>
      <c r="F168">
        <v>5</v>
      </c>
      <c r="G168">
        <v>2481</v>
      </c>
      <c r="H168">
        <v>1921</v>
      </c>
      <c r="I168" s="2">
        <v>45232</v>
      </c>
      <c r="J168" t="s">
        <v>569</v>
      </c>
      <c r="K168" t="s">
        <v>573</v>
      </c>
      <c r="L168">
        <v>1626558</v>
      </c>
      <c r="M168">
        <v>655.61</v>
      </c>
      <c r="N168">
        <v>62</v>
      </c>
      <c r="O168">
        <v>45.460999999999999</v>
      </c>
      <c r="P168">
        <v>-122.663</v>
      </c>
    </row>
    <row r="169" spans="1:17" x14ac:dyDescent="0.3">
      <c r="A169" t="s">
        <v>184</v>
      </c>
      <c r="B169" t="s">
        <v>268</v>
      </c>
      <c r="C169" t="s">
        <v>303</v>
      </c>
      <c r="D169" t="s">
        <v>488</v>
      </c>
      <c r="E169">
        <v>2</v>
      </c>
      <c r="F169">
        <v>2</v>
      </c>
      <c r="G169">
        <v>2277</v>
      </c>
      <c r="H169">
        <v>1958</v>
      </c>
      <c r="I169" s="2">
        <v>43337</v>
      </c>
      <c r="J169" t="s">
        <v>570</v>
      </c>
      <c r="K169" t="s">
        <v>571</v>
      </c>
      <c r="L169">
        <v>800244</v>
      </c>
      <c r="M169">
        <v>351.45</v>
      </c>
      <c r="N169">
        <v>51</v>
      </c>
      <c r="O169">
        <v>47.661000000000001</v>
      </c>
      <c r="P169">
        <v>-122.285</v>
      </c>
      <c r="Q169" t="s">
        <v>578</v>
      </c>
    </row>
    <row r="170" spans="1:17" x14ac:dyDescent="0.3">
      <c r="A170" t="s">
        <v>185</v>
      </c>
      <c r="B170" t="s">
        <v>276</v>
      </c>
      <c r="C170" t="s">
        <v>318</v>
      </c>
      <c r="D170" t="s">
        <v>489</v>
      </c>
      <c r="E170">
        <v>1</v>
      </c>
      <c r="F170">
        <v>1</v>
      </c>
      <c r="G170">
        <v>1337</v>
      </c>
      <c r="H170">
        <v>1944</v>
      </c>
      <c r="I170" s="2">
        <v>45317</v>
      </c>
      <c r="J170" t="s">
        <v>566</v>
      </c>
      <c r="K170" t="s">
        <v>572</v>
      </c>
      <c r="L170">
        <v>506945</v>
      </c>
      <c r="M170">
        <v>379.17</v>
      </c>
      <c r="N170">
        <v>17</v>
      </c>
      <c r="O170">
        <v>41.793999999999997</v>
      </c>
      <c r="P170">
        <v>-87.533000000000001</v>
      </c>
    </row>
    <row r="171" spans="1:17" x14ac:dyDescent="0.3">
      <c r="A171" t="s">
        <v>186</v>
      </c>
      <c r="B171" t="s">
        <v>277</v>
      </c>
      <c r="C171" t="s">
        <v>295</v>
      </c>
      <c r="D171" t="s">
        <v>490</v>
      </c>
      <c r="E171">
        <v>4</v>
      </c>
      <c r="F171">
        <v>4</v>
      </c>
      <c r="G171">
        <v>2184</v>
      </c>
      <c r="H171">
        <v>2014</v>
      </c>
      <c r="I171" s="2">
        <v>44938</v>
      </c>
      <c r="J171" t="s">
        <v>569</v>
      </c>
      <c r="K171" t="s">
        <v>571</v>
      </c>
      <c r="L171">
        <v>1188794</v>
      </c>
      <c r="M171">
        <v>544.32000000000005</v>
      </c>
      <c r="N171">
        <v>10</v>
      </c>
      <c r="O171">
        <v>30.306999999999999</v>
      </c>
      <c r="P171">
        <v>-97.707999999999998</v>
      </c>
      <c r="Q171" t="s">
        <v>577</v>
      </c>
    </row>
    <row r="172" spans="1:17" x14ac:dyDescent="0.3">
      <c r="A172" t="s">
        <v>187</v>
      </c>
      <c r="B172" t="s">
        <v>267</v>
      </c>
      <c r="C172" t="s">
        <v>311</v>
      </c>
      <c r="D172" t="s">
        <v>491</v>
      </c>
      <c r="E172">
        <v>5</v>
      </c>
      <c r="F172">
        <v>5</v>
      </c>
      <c r="G172">
        <v>2768</v>
      </c>
      <c r="H172">
        <v>1916</v>
      </c>
      <c r="I172" s="2">
        <v>43115</v>
      </c>
      <c r="J172" t="s">
        <v>566</v>
      </c>
      <c r="K172" t="s">
        <v>574</v>
      </c>
      <c r="L172">
        <v>1566818</v>
      </c>
      <c r="M172">
        <v>566.04999999999995</v>
      </c>
      <c r="N172">
        <v>27</v>
      </c>
      <c r="O172">
        <v>37.762999999999998</v>
      </c>
      <c r="P172">
        <v>-122.286</v>
      </c>
      <c r="Q172" t="s">
        <v>578</v>
      </c>
    </row>
    <row r="173" spans="1:17" x14ac:dyDescent="0.3">
      <c r="A173" t="s">
        <v>188</v>
      </c>
      <c r="B173" t="s">
        <v>276</v>
      </c>
      <c r="C173" t="s">
        <v>305</v>
      </c>
      <c r="D173" t="s">
        <v>492</v>
      </c>
      <c r="E173">
        <v>4</v>
      </c>
      <c r="F173">
        <v>4</v>
      </c>
      <c r="G173">
        <v>2173</v>
      </c>
      <c r="H173">
        <v>1935</v>
      </c>
      <c r="I173" s="2">
        <v>43563</v>
      </c>
      <c r="J173" t="s">
        <v>566</v>
      </c>
      <c r="K173" t="s">
        <v>572</v>
      </c>
      <c r="L173">
        <v>1159253</v>
      </c>
      <c r="M173">
        <v>533.48</v>
      </c>
      <c r="N173">
        <v>57</v>
      </c>
      <c r="O173">
        <v>41.863999999999997</v>
      </c>
      <c r="P173">
        <v>-87.566999999999993</v>
      </c>
    </row>
    <row r="174" spans="1:17" x14ac:dyDescent="0.3">
      <c r="A174" t="s">
        <v>189</v>
      </c>
      <c r="B174" t="s">
        <v>267</v>
      </c>
      <c r="C174" t="s">
        <v>278</v>
      </c>
      <c r="D174" t="s">
        <v>493</v>
      </c>
      <c r="E174">
        <v>5</v>
      </c>
      <c r="F174">
        <v>5</v>
      </c>
      <c r="G174">
        <v>2825</v>
      </c>
      <c r="H174">
        <v>1976</v>
      </c>
      <c r="I174" s="2">
        <v>44103</v>
      </c>
      <c r="J174" t="s">
        <v>566</v>
      </c>
      <c r="K174" t="s">
        <v>571</v>
      </c>
      <c r="L174">
        <v>1483265</v>
      </c>
      <c r="M174">
        <v>525.04999999999995</v>
      </c>
      <c r="N174">
        <v>37</v>
      </c>
      <c r="O174">
        <v>37.716999999999999</v>
      </c>
      <c r="P174">
        <v>-122.387</v>
      </c>
    </row>
    <row r="175" spans="1:17" x14ac:dyDescent="0.3">
      <c r="A175" t="s">
        <v>190</v>
      </c>
      <c r="B175" t="s">
        <v>271</v>
      </c>
      <c r="C175" t="s">
        <v>299</v>
      </c>
      <c r="D175" t="s">
        <v>494</v>
      </c>
      <c r="E175">
        <v>5</v>
      </c>
      <c r="F175">
        <v>5</v>
      </c>
      <c r="G175">
        <v>2888</v>
      </c>
      <c r="H175">
        <v>1976</v>
      </c>
      <c r="I175" s="2">
        <v>44071</v>
      </c>
      <c r="J175" t="s">
        <v>568</v>
      </c>
      <c r="K175" t="s">
        <v>572</v>
      </c>
      <c r="L175">
        <v>1626959</v>
      </c>
      <c r="M175">
        <v>563.35</v>
      </c>
      <c r="N175">
        <v>51</v>
      </c>
      <c r="O175">
        <v>42.457000000000001</v>
      </c>
      <c r="P175">
        <v>-71.055999999999997</v>
      </c>
      <c r="Q175" t="s">
        <v>578</v>
      </c>
    </row>
    <row r="176" spans="1:17" x14ac:dyDescent="0.3">
      <c r="A176" t="s">
        <v>191</v>
      </c>
      <c r="B176" t="s">
        <v>268</v>
      </c>
      <c r="C176" t="s">
        <v>279</v>
      </c>
      <c r="D176" t="s">
        <v>495</v>
      </c>
      <c r="E176">
        <v>5</v>
      </c>
      <c r="F176">
        <v>4</v>
      </c>
      <c r="G176">
        <v>2534</v>
      </c>
      <c r="H176">
        <v>2016</v>
      </c>
      <c r="I176" s="2">
        <v>44850</v>
      </c>
      <c r="J176" t="s">
        <v>570</v>
      </c>
      <c r="K176" t="s">
        <v>571</v>
      </c>
      <c r="L176">
        <v>1443459</v>
      </c>
      <c r="M176">
        <v>569.64</v>
      </c>
      <c r="N176">
        <v>12</v>
      </c>
      <c r="O176">
        <v>47.694000000000003</v>
      </c>
      <c r="P176">
        <v>-122.242</v>
      </c>
      <c r="Q176" t="s">
        <v>579</v>
      </c>
    </row>
    <row r="177" spans="1:17" x14ac:dyDescent="0.3">
      <c r="A177" t="s">
        <v>192</v>
      </c>
      <c r="B177" t="s">
        <v>269</v>
      </c>
      <c r="C177" t="s">
        <v>288</v>
      </c>
      <c r="D177" t="s">
        <v>496</v>
      </c>
      <c r="E177">
        <v>4</v>
      </c>
      <c r="F177">
        <v>4</v>
      </c>
      <c r="G177">
        <v>1949</v>
      </c>
      <c r="H177">
        <v>1948</v>
      </c>
      <c r="I177" s="2">
        <v>45304</v>
      </c>
      <c r="J177" t="s">
        <v>569</v>
      </c>
      <c r="K177" t="s">
        <v>573</v>
      </c>
      <c r="L177">
        <v>1034765</v>
      </c>
      <c r="M177">
        <v>530.91999999999996</v>
      </c>
      <c r="N177">
        <v>36</v>
      </c>
      <c r="O177">
        <v>39.685000000000002</v>
      </c>
      <c r="P177">
        <v>-104.91800000000001</v>
      </c>
      <c r="Q177" t="s">
        <v>575</v>
      </c>
    </row>
    <row r="178" spans="1:17" x14ac:dyDescent="0.3">
      <c r="A178" t="s">
        <v>193</v>
      </c>
      <c r="B178" t="s">
        <v>268</v>
      </c>
      <c r="C178" t="s">
        <v>279</v>
      </c>
      <c r="D178" t="s">
        <v>497</v>
      </c>
      <c r="E178">
        <v>4</v>
      </c>
      <c r="F178">
        <v>3</v>
      </c>
      <c r="G178">
        <v>2465</v>
      </c>
      <c r="H178">
        <v>1971</v>
      </c>
      <c r="I178" s="2">
        <v>43650</v>
      </c>
      <c r="J178" t="s">
        <v>569</v>
      </c>
      <c r="K178" t="s">
        <v>573</v>
      </c>
      <c r="L178">
        <v>1158493</v>
      </c>
      <c r="M178">
        <v>469.98</v>
      </c>
      <c r="N178">
        <v>54</v>
      </c>
      <c r="O178">
        <v>47.540999999999997</v>
      </c>
      <c r="P178">
        <v>-122.301</v>
      </c>
      <c r="Q178" t="s">
        <v>578</v>
      </c>
    </row>
    <row r="179" spans="1:17" x14ac:dyDescent="0.3">
      <c r="A179" t="s">
        <v>194</v>
      </c>
      <c r="B179" t="s">
        <v>267</v>
      </c>
      <c r="C179" t="s">
        <v>286</v>
      </c>
      <c r="D179" t="s">
        <v>498</v>
      </c>
      <c r="E179">
        <v>2</v>
      </c>
      <c r="F179">
        <v>2</v>
      </c>
      <c r="G179">
        <v>1385</v>
      </c>
      <c r="H179">
        <v>1948</v>
      </c>
      <c r="I179" s="2">
        <v>45570</v>
      </c>
      <c r="J179" t="s">
        <v>566</v>
      </c>
      <c r="K179" t="s">
        <v>572</v>
      </c>
      <c r="L179">
        <v>597192</v>
      </c>
      <c r="M179">
        <v>431.19</v>
      </c>
      <c r="N179">
        <v>1</v>
      </c>
      <c r="O179">
        <v>37.707999999999998</v>
      </c>
      <c r="P179">
        <v>-122.27800000000001</v>
      </c>
      <c r="Q179" t="s">
        <v>579</v>
      </c>
    </row>
    <row r="180" spans="1:17" x14ac:dyDescent="0.3">
      <c r="A180" t="s">
        <v>195</v>
      </c>
      <c r="B180" t="s">
        <v>276</v>
      </c>
      <c r="C180" t="s">
        <v>301</v>
      </c>
      <c r="D180" t="s">
        <v>499</v>
      </c>
      <c r="E180">
        <v>2</v>
      </c>
      <c r="F180">
        <v>1</v>
      </c>
      <c r="G180">
        <v>1637</v>
      </c>
      <c r="H180">
        <v>1942</v>
      </c>
      <c r="I180" s="2">
        <v>43163</v>
      </c>
      <c r="J180" t="s">
        <v>567</v>
      </c>
      <c r="K180" t="s">
        <v>572</v>
      </c>
      <c r="L180">
        <v>756163</v>
      </c>
      <c r="M180">
        <v>461.92</v>
      </c>
      <c r="N180">
        <v>9</v>
      </c>
      <c r="O180">
        <v>41.972000000000001</v>
      </c>
      <c r="P180">
        <v>-87.697000000000003</v>
      </c>
      <c r="Q180" t="s">
        <v>578</v>
      </c>
    </row>
    <row r="181" spans="1:17" x14ac:dyDescent="0.3">
      <c r="A181" t="s">
        <v>196</v>
      </c>
      <c r="B181" t="s">
        <v>276</v>
      </c>
      <c r="C181" t="s">
        <v>301</v>
      </c>
      <c r="D181" t="s">
        <v>500</v>
      </c>
      <c r="E181">
        <v>2</v>
      </c>
      <c r="F181">
        <v>2</v>
      </c>
      <c r="G181">
        <v>1704</v>
      </c>
      <c r="H181">
        <v>1999</v>
      </c>
      <c r="I181" s="2">
        <v>44660</v>
      </c>
      <c r="J181" t="s">
        <v>569</v>
      </c>
      <c r="K181" t="s">
        <v>571</v>
      </c>
      <c r="L181">
        <v>850550</v>
      </c>
      <c r="M181">
        <v>499.15</v>
      </c>
      <c r="N181">
        <v>17</v>
      </c>
      <c r="O181">
        <v>41.851999999999997</v>
      </c>
      <c r="P181">
        <v>-87.668000000000006</v>
      </c>
      <c r="Q181" t="s">
        <v>577</v>
      </c>
    </row>
    <row r="182" spans="1:17" x14ac:dyDescent="0.3">
      <c r="A182" t="s">
        <v>197</v>
      </c>
      <c r="B182" t="s">
        <v>267</v>
      </c>
      <c r="C182" t="s">
        <v>293</v>
      </c>
      <c r="D182" t="s">
        <v>501</v>
      </c>
      <c r="E182">
        <v>3</v>
      </c>
      <c r="F182">
        <v>2</v>
      </c>
      <c r="G182">
        <v>2309</v>
      </c>
      <c r="H182">
        <v>1947</v>
      </c>
      <c r="I182" s="2">
        <v>44796</v>
      </c>
      <c r="J182" t="s">
        <v>566</v>
      </c>
      <c r="K182" t="s">
        <v>571</v>
      </c>
      <c r="L182">
        <v>981832</v>
      </c>
      <c r="M182">
        <v>425.22</v>
      </c>
      <c r="N182">
        <v>50</v>
      </c>
      <c r="O182">
        <v>37.713999999999999</v>
      </c>
      <c r="P182">
        <v>-122.401</v>
      </c>
      <c r="Q182" t="s">
        <v>576</v>
      </c>
    </row>
    <row r="183" spans="1:17" x14ac:dyDescent="0.3">
      <c r="A183" t="s">
        <v>198</v>
      </c>
      <c r="B183" t="s">
        <v>274</v>
      </c>
      <c r="C183" t="s">
        <v>292</v>
      </c>
      <c r="D183" t="s">
        <v>502</v>
      </c>
      <c r="E183">
        <v>3</v>
      </c>
      <c r="F183">
        <v>3</v>
      </c>
      <c r="G183">
        <v>2460</v>
      </c>
      <c r="H183">
        <v>1942</v>
      </c>
      <c r="I183" s="2">
        <v>44656</v>
      </c>
      <c r="J183" t="s">
        <v>570</v>
      </c>
      <c r="K183" t="s">
        <v>572</v>
      </c>
      <c r="L183">
        <v>1301334</v>
      </c>
      <c r="M183">
        <v>529</v>
      </c>
      <c r="N183">
        <v>11</v>
      </c>
      <c r="O183">
        <v>34.049999999999997</v>
      </c>
      <c r="P183">
        <v>-118.209</v>
      </c>
      <c r="Q183" t="s">
        <v>579</v>
      </c>
    </row>
    <row r="184" spans="1:17" x14ac:dyDescent="0.3">
      <c r="A184" t="s">
        <v>199</v>
      </c>
      <c r="B184" t="s">
        <v>270</v>
      </c>
      <c r="C184" t="s">
        <v>306</v>
      </c>
      <c r="D184" t="s">
        <v>503</v>
      </c>
      <c r="E184">
        <v>4</v>
      </c>
      <c r="F184">
        <v>4</v>
      </c>
      <c r="G184">
        <v>2544</v>
      </c>
      <c r="H184">
        <v>2001</v>
      </c>
      <c r="I184" s="2">
        <v>43794</v>
      </c>
      <c r="J184" t="s">
        <v>567</v>
      </c>
      <c r="K184" t="s">
        <v>572</v>
      </c>
      <c r="L184">
        <v>1610888</v>
      </c>
      <c r="M184">
        <v>633.21</v>
      </c>
      <c r="N184">
        <v>46</v>
      </c>
      <c r="O184">
        <v>40.707999999999998</v>
      </c>
      <c r="P184">
        <v>-73.927000000000007</v>
      </c>
      <c r="Q184" t="s">
        <v>577</v>
      </c>
    </row>
    <row r="185" spans="1:17" x14ac:dyDescent="0.3">
      <c r="A185" t="s">
        <v>200</v>
      </c>
      <c r="B185" t="s">
        <v>273</v>
      </c>
      <c r="C185" t="s">
        <v>309</v>
      </c>
      <c r="D185" t="s">
        <v>504</v>
      </c>
      <c r="E185">
        <v>1</v>
      </c>
      <c r="F185">
        <v>1</v>
      </c>
      <c r="G185">
        <v>1349</v>
      </c>
      <c r="H185">
        <v>1985</v>
      </c>
      <c r="I185" s="2">
        <v>43127</v>
      </c>
      <c r="J185" t="s">
        <v>569</v>
      </c>
      <c r="K185" t="s">
        <v>573</v>
      </c>
      <c r="L185">
        <v>675216</v>
      </c>
      <c r="M185">
        <v>500.53</v>
      </c>
      <c r="N185">
        <v>30</v>
      </c>
      <c r="O185">
        <v>45.545999999999999</v>
      </c>
      <c r="P185">
        <v>-122.76600000000001</v>
      </c>
      <c r="Q185" t="s">
        <v>575</v>
      </c>
    </row>
    <row r="186" spans="1:17" x14ac:dyDescent="0.3">
      <c r="A186" t="s">
        <v>201</v>
      </c>
      <c r="B186" t="s">
        <v>273</v>
      </c>
      <c r="C186" t="s">
        <v>285</v>
      </c>
      <c r="D186" t="s">
        <v>505</v>
      </c>
      <c r="E186">
        <v>3</v>
      </c>
      <c r="F186">
        <v>3</v>
      </c>
      <c r="G186">
        <v>2392</v>
      </c>
      <c r="H186">
        <v>1981</v>
      </c>
      <c r="I186" s="2">
        <v>45099</v>
      </c>
      <c r="J186" t="s">
        <v>566</v>
      </c>
      <c r="K186" t="s">
        <v>573</v>
      </c>
      <c r="L186">
        <v>1494707</v>
      </c>
      <c r="M186">
        <v>624.88</v>
      </c>
      <c r="N186">
        <v>45</v>
      </c>
      <c r="O186">
        <v>45.53</v>
      </c>
      <c r="P186">
        <v>-122.77800000000001</v>
      </c>
      <c r="Q186" t="s">
        <v>577</v>
      </c>
    </row>
    <row r="187" spans="1:17" x14ac:dyDescent="0.3">
      <c r="A187" t="s">
        <v>202</v>
      </c>
      <c r="B187" t="s">
        <v>273</v>
      </c>
      <c r="C187" t="s">
        <v>286</v>
      </c>
      <c r="D187" t="s">
        <v>506</v>
      </c>
      <c r="E187">
        <v>1</v>
      </c>
      <c r="F187">
        <v>1</v>
      </c>
      <c r="G187">
        <v>1397</v>
      </c>
      <c r="H187">
        <v>1989</v>
      </c>
      <c r="I187" s="2">
        <v>43835</v>
      </c>
      <c r="J187" t="s">
        <v>566</v>
      </c>
      <c r="K187" t="s">
        <v>572</v>
      </c>
      <c r="L187">
        <v>692748</v>
      </c>
      <c r="M187">
        <v>495.88</v>
      </c>
      <c r="N187">
        <v>22</v>
      </c>
      <c r="O187">
        <v>45.524999999999999</v>
      </c>
      <c r="P187">
        <v>-122.732</v>
      </c>
      <c r="Q187" t="s">
        <v>577</v>
      </c>
    </row>
    <row r="188" spans="1:17" x14ac:dyDescent="0.3">
      <c r="A188" t="s">
        <v>203</v>
      </c>
      <c r="B188" t="s">
        <v>269</v>
      </c>
      <c r="C188" t="s">
        <v>280</v>
      </c>
      <c r="D188" t="s">
        <v>507</v>
      </c>
      <c r="E188">
        <v>4</v>
      </c>
      <c r="F188">
        <v>4</v>
      </c>
      <c r="G188">
        <v>2499</v>
      </c>
      <c r="H188">
        <v>1951</v>
      </c>
      <c r="I188" s="2">
        <v>45415</v>
      </c>
      <c r="J188" t="s">
        <v>567</v>
      </c>
      <c r="K188" t="s">
        <v>574</v>
      </c>
      <c r="L188">
        <v>1466997</v>
      </c>
      <c r="M188">
        <v>587.03</v>
      </c>
      <c r="N188">
        <v>43</v>
      </c>
      <c r="O188">
        <v>39.685000000000002</v>
      </c>
      <c r="P188">
        <v>-104.953</v>
      </c>
    </row>
    <row r="189" spans="1:17" x14ac:dyDescent="0.3">
      <c r="A189" t="s">
        <v>204</v>
      </c>
      <c r="B189" t="s">
        <v>267</v>
      </c>
      <c r="C189" t="s">
        <v>293</v>
      </c>
      <c r="D189" t="s">
        <v>402</v>
      </c>
      <c r="E189">
        <v>4</v>
      </c>
      <c r="F189">
        <v>4</v>
      </c>
      <c r="G189">
        <v>2919</v>
      </c>
      <c r="H189">
        <v>1960</v>
      </c>
      <c r="I189" s="2">
        <v>43139</v>
      </c>
      <c r="J189" t="s">
        <v>567</v>
      </c>
      <c r="K189" t="s">
        <v>573</v>
      </c>
      <c r="L189">
        <v>1603722</v>
      </c>
      <c r="M189">
        <v>549.41</v>
      </c>
      <c r="N189">
        <v>25</v>
      </c>
      <c r="O189">
        <v>37.838999999999999</v>
      </c>
      <c r="P189">
        <v>-122.301</v>
      </c>
      <c r="Q189" t="s">
        <v>576</v>
      </c>
    </row>
    <row r="190" spans="1:17" x14ac:dyDescent="0.3">
      <c r="A190" t="s">
        <v>205</v>
      </c>
      <c r="B190" t="s">
        <v>273</v>
      </c>
      <c r="C190" t="s">
        <v>309</v>
      </c>
      <c r="D190" t="s">
        <v>508</v>
      </c>
      <c r="E190">
        <v>2</v>
      </c>
      <c r="F190">
        <v>2</v>
      </c>
      <c r="G190">
        <v>2100</v>
      </c>
      <c r="H190">
        <v>2011</v>
      </c>
      <c r="I190" s="2">
        <v>45048</v>
      </c>
      <c r="J190" t="s">
        <v>568</v>
      </c>
      <c r="K190" t="s">
        <v>573</v>
      </c>
      <c r="L190">
        <v>1159544</v>
      </c>
      <c r="M190">
        <v>552.16</v>
      </c>
      <c r="N190">
        <v>26</v>
      </c>
      <c r="O190">
        <v>45.435000000000002</v>
      </c>
      <c r="P190">
        <v>-122.595</v>
      </c>
      <c r="Q190" t="s">
        <v>577</v>
      </c>
    </row>
    <row r="191" spans="1:17" x14ac:dyDescent="0.3">
      <c r="A191" t="s">
        <v>206</v>
      </c>
      <c r="B191" t="s">
        <v>275</v>
      </c>
      <c r="C191" t="s">
        <v>308</v>
      </c>
      <c r="D191" t="s">
        <v>509</v>
      </c>
      <c r="E191">
        <v>1</v>
      </c>
      <c r="F191">
        <v>1</v>
      </c>
      <c r="G191">
        <v>1248</v>
      </c>
      <c r="H191">
        <v>1975</v>
      </c>
      <c r="I191" s="2">
        <v>44732</v>
      </c>
      <c r="J191" t="s">
        <v>566</v>
      </c>
      <c r="K191" t="s">
        <v>571</v>
      </c>
      <c r="L191">
        <v>382569</v>
      </c>
      <c r="M191">
        <v>306.55</v>
      </c>
      <c r="N191">
        <v>24</v>
      </c>
      <c r="O191">
        <v>30.283000000000001</v>
      </c>
      <c r="P191">
        <v>-97.727000000000004</v>
      </c>
      <c r="Q191" t="s">
        <v>578</v>
      </c>
    </row>
    <row r="192" spans="1:17" x14ac:dyDescent="0.3">
      <c r="A192" t="s">
        <v>207</v>
      </c>
      <c r="B192" t="s">
        <v>269</v>
      </c>
      <c r="C192" t="s">
        <v>288</v>
      </c>
      <c r="D192" t="s">
        <v>510</v>
      </c>
      <c r="E192">
        <v>2</v>
      </c>
      <c r="F192">
        <v>1</v>
      </c>
      <c r="G192">
        <v>1805</v>
      </c>
      <c r="H192">
        <v>1988</v>
      </c>
      <c r="I192" s="2">
        <v>45152</v>
      </c>
      <c r="J192" t="s">
        <v>568</v>
      </c>
      <c r="K192" t="s">
        <v>573</v>
      </c>
      <c r="L192">
        <v>1008574</v>
      </c>
      <c r="M192">
        <v>558.77</v>
      </c>
      <c r="N192">
        <v>44</v>
      </c>
      <c r="O192">
        <v>39.726999999999997</v>
      </c>
      <c r="P192">
        <v>-104.922</v>
      </c>
      <c r="Q192" t="s">
        <v>576</v>
      </c>
    </row>
    <row r="193" spans="1:17" x14ac:dyDescent="0.3">
      <c r="A193" t="s">
        <v>208</v>
      </c>
      <c r="B193" t="s">
        <v>274</v>
      </c>
      <c r="C193" t="s">
        <v>292</v>
      </c>
      <c r="D193" t="s">
        <v>511</v>
      </c>
      <c r="E193">
        <v>3</v>
      </c>
      <c r="F193">
        <v>3</v>
      </c>
      <c r="G193">
        <v>2045</v>
      </c>
      <c r="H193">
        <v>1934</v>
      </c>
      <c r="I193" s="2">
        <v>45110</v>
      </c>
      <c r="J193" t="s">
        <v>567</v>
      </c>
      <c r="K193" t="s">
        <v>571</v>
      </c>
      <c r="L193">
        <v>1365362</v>
      </c>
      <c r="M193">
        <v>667.66</v>
      </c>
      <c r="N193">
        <v>31</v>
      </c>
      <c r="O193">
        <v>34.137999999999998</v>
      </c>
      <c r="P193">
        <v>-118.254</v>
      </c>
      <c r="Q193" t="s">
        <v>579</v>
      </c>
    </row>
    <row r="194" spans="1:17" x14ac:dyDescent="0.3">
      <c r="A194" t="s">
        <v>209</v>
      </c>
      <c r="B194" t="s">
        <v>267</v>
      </c>
      <c r="C194" t="s">
        <v>286</v>
      </c>
      <c r="D194" t="s">
        <v>512</v>
      </c>
      <c r="E194">
        <v>3</v>
      </c>
      <c r="F194">
        <v>2</v>
      </c>
      <c r="G194">
        <v>2159</v>
      </c>
      <c r="H194">
        <v>1991</v>
      </c>
      <c r="I194" s="2">
        <v>43437</v>
      </c>
      <c r="J194" t="s">
        <v>568</v>
      </c>
      <c r="K194" t="s">
        <v>573</v>
      </c>
      <c r="L194">
        <v>1066476</v>
      </c>
      <c r="M194">
        <v>493.97</v>
      </c>
      <c r="N194">
        <v>9</v>
      </c>
      <c r="O194">
        <v>37.811999999999998</v>
      </c>
      <c r="P194">
        <v>-122.303</v>
      </c>
      <c r="Q194" t="s">
        <v>579</v>
      </c>
    </row>
    <row r="195" spans="1:17" x14ac:dyDescent="0.3">
      <c r="A195" t="s">
        <v>210</v>
      </c>
      <c r="B195" t="s">
        <v>269</v>
      </c>
      <c r="C195" t="s">
        <v>321</v>
      </c>
      <c r="D195" t="s">
        <v>513</v>
      </c>
      <c r="E195">
        <v>1</v>
      </c>
      <c r="F195">
        <v>1</v>
      </c>
      <c r="G195">
        <v>1786</v>
      </c>
      <c r="H195">
        <v>1939</v>
      </c>
      <c r="I195" s="2">
        <v>44575</v>
      </c>
      <c r="J195" t="s">
        <v>568</v>
      </c>
      <c r="K195" t="s">
        <v>573</v>
      </c>
      <c r="L195">
        <v>837850</v>
      </c>
      <c r="M195">
        <v>469.12</v>
      </c>
      <c r="N195">
        <v>22</v>
      </c>
      <c r="O195">
        <v>39.656999999999996</v>
      </c>
      <c r="P195">
        <v>-105.004</v>
      </c>
      <c r="Q195" t="s">
        <v>577</v>
      </c>
    </row>
    <row r="196" spans="1:17" x14ac:dyDescent="0.3">
      <c r="A196" t="s">
        <v>211</v>
      </c>
      <c r="B196" t="s">
        <v>272</v>
      </c>
      <c r="C196" t="s">
        <v>294</v>
      </c>
      <c r="D196" t="s">
        <v>514</v>
      </c>
      <c r="E196">
        <v>1</v>
      </c>
      <c r="F196">
        <v>1</v>
      </c>
      <c r="G196">
        <v>1658</v>
      </c>
      <c r="H196">
        <v>1970</v>
      </c>
      <c r="I196" s="2">
        <v>45546</v>
      </c>
      <c r="J196" t="s">
        <v>570</v>
      </c>
      <c r="K196" t="s">
        <v>572</v>
      </c>
      <c r="L196">
        <v>916237</v>
      </c>
      <c r="M196">
        <v>552.62</v>
      </c>
      <c r="N196">
        <v>40</v>
      </c>
      <c r="O196">
        <v>25.832999999999998</v>
      </c>
      <c r="P196">
        <v>-80.287999999999997</v>
      </c>
      <c r="Q196" t="s">
        <v>578</v>
      </c>
    </row>
    <row r="197" spans="1:17" x14ac:dyDescent="0.3">
      <c r="A197" t="s">
        <v>212</v>
      </c>
      <c r="B197" t="s">
        <v>273</v>
      </c>
      <c r="C197" t="s">
        <v>289</v>
      </c>
      <c r="D197" t="s">
        <v>515</v>
      </c>
      <c r="E197">
        <v>5</v>
      </c>
      <c r="F197">
        <v>5</v>
      </c>
      <c r="G197">
        <v>2762</v>
      </c>
      <c r="H197">
        <v>1987</v>
      </c>
      <c r="I197" s="2">
        <v>43795</v>
      </c>
      <c r="J197" t="s">
        <v>567</v>
      </c>
      <c r="K197" t="s">
        <v>571</v>
      </c>
      <c r="L197">
        <v>1916255</v>
      </c>
      <c r="M197">
        <v>693.79</v>
      </c>
      <c r="N197">
        <v>9</v>
      </c>
      <c r="O197">
        <v>45.473999999999997</v>
      </c>
      <c r="P197">
        <v>-122.751</v>
      </c>
      <c r="Q197" t="s">
        <v>575</v>
      </c>
    </row>
    <row r="198" spans="1:17" x14ac:dyDescent="0.3">
      <c r="A198" t="s">
        <v>213</v>
      </c>
      <c r="B198" t="s">
        <v>272</v>
      </c>
      <c r="C198" t="s">
        <v>323</v>
      </c>
      <c r="D198" t="s">
        <v>516</v>
      </c>
      <c r="E198">
        <v>4</v>
      </c>
      <c r="F198">
        <v>3</v>
      </c>
      <c r="G198">
        <v>2608</v>
      </c>
      <c r="H198">
        <v>1946</v>
      </c>
      <c r="I198" s="2">
        <v>44111</v>
      </c>
      <c r="J198" t="s">
        <v>569</v>
      </c>
      <c r="K198" t="s">
        <v>571</v>
      </c>
      <c r="M198">
        <v>584.66</v>
      </c>
      <c r="N198">
        <v>37</v>
      </c>
      <c r="O198">
        <v>25.699000000000002</v>
      </c>
      <c r="P198">
        <v>-80.269000000000005</v>
      </c>
      <c r="Q198" t="s">
        <v>576</v>
      </c>
    </row>
    <row r="199" spans="1:17" x14ac:dyDescent="0.3">
      <c r="A199" t="s">
        <v>214</v>
      </c>
      <c r="B199" t="s">
        <v>269</v>
      </c>
      <c r="C199" t="s">
        <v>322</v>
      </c>
      <c r="D199" t="s">
        <v>494</v>
      </c>
      <c r="E199">
        <v>4</v>
      </c>
      <c r="F199">
        <v>3</v>
      </c>
      <c r="G199">
        <v>2281</v>
      </c>
      <c r="H199">
        <v>1942</v>
      </c>
      <c r="I199" s="2">
        <v>44472</v>
      </c>
      <c r="J199" t="s">
        <v>569</v>
      </c>
      <c r="K199" t="s">
        <v>572</v>
      </c>
      <c r="L199">
        <v>1420789</v>
      </c>
      <c r="M199">
        <v>622.88</v>
      </c>
      <c r="N199">
        <v>45</v>
      </c>
      <c r="O199">
        <v>39.811999999999998</v>
      </c>
      <c r="P199">
        <v>-104.895</v>
      </c>
      <c r="Q199" t="s">
        <v>575</v>
      </c>
    </row>
    <row r="200" spans="1:17" x14ac:dyDescent="0.3">
      <c r="A200" t="s">
        <v>215</v>
      </c>
      <c r="B200" t="s">
        <v>274</v>
      </c>
      <c r="C200" t="s">
        <v>320</v>
      </c>
      <c r="D200" t="s">
        <v>441</v>
      </c>
      <c r="E200">
        <v>4</v>
      </c>
      <c r="F200">
        <v>4</v>
      </c>
      <c r="G200">
        <v>2659</v>
      </c>
      <c r="H200">
        <v>1950</v>
      </c>
      <c r="I200" s="2">
        <v>44294</v>
      </c>
      <c r="J200" t="s">
        <v>569</v>
      </c>
      <c r="K200" t="s">
        <v>574</v>
      </c>
      <c r="L200">
        <v>1755855</v>
      </c>
      <c r="M200">
        <v>660.34</v>
      </c>
      <c r="N200">
        <v>26</v>
      </c>
      <c r="O200">
        <v>34.106000000000002</v>
      </c>
      <c r="P200">
        <v>-118.27500000000001</v>
      </c>
      <c r="Q200" t="s">
        <v>576</v>
      </c>
    </row>
    <row r="201" spans="1:17" x14ac:dyDescent="0.3">
      <c r="A201" t="s">
        <v>216</v>
      </c>
      <c r="B201" t="s">
        <v>269</v>
      </c>
      <c r="C201" t="s">
        <v>321</v>
      </c>
      <c r="D201" t="s">
        <v>517</v>
      </c>
      <c r="E201">
        <v>5</v>
      </c>
      <c r="F201">
        <v>5</v>
      </c>
      <c r="G201">
        <v>2455</v>
      </c>
      <c r="H201">
        <v>1969</v>
      </c>
      <c r="I201" s="2">
        <v>45354</v>
      </c>
      <c r="J201" t="s">
        <v>566</v>
      </c>
      <c r="K201" t="s">
        <v>574</v>
      </c>
      <c r="L201">
        <v>1543351</v>
      </c>
      <c r="M201">
        <v>628.66</v>
      </c>
      <c r="N201">
        <v>46</v>
      </c>
      <c r="O201">
        <v>39.731999999999999</v>
      </c>
      <c r="P201">
        <v>-104.94799999999999</v>
      </c>
      <c r="Q201" t="s">
        <v>578</v>
      </c>
    </row>
    <row r="202" spans="1:17" x14ac:dyDescent="0.3">
      <c r="A202" t="s">
        <v>217</v>
      </c>
      <c r="B202" t="s">
        <v>267</v>
      </c>
      <c r="C202" t="s">
        <v>293</v>
      </c>
      <c r="D202" t="s">
        <v>518</v>
      </c>
      <c r="E202">
        <v>4</v>
      </c>
      <c r="F202">
        <v>4</v>
      </c>
      <c r="G202">
        <v>2589</v>
      </c>
      <c r="H202">
        <v>1938</v>
      </c>
      <c r="I202" s="2">
        <v>44135</v>
      </c>
      <c r="J202" t="s">
        <v>567</v>
      </c>
      <c r="K202" t="s">
        <v>572</v>
      </c>
      <c r="L202">
        <v>1246348</v>
      </c>
      <c r="M202">
        <v>481.4</v>
      </c>
      <c r="N202">
        <v>61</v>
      </c>
      <c r="O202">
        <v>37.828000000000003</v>
      </c>
      <c r="P202">
        <v>-122.41500000000001</v>
      </c>
      <c r="Q202" t="s">
        <v>577</v>
      </c>
    </row>
    <row r="203" spans="1:17" x14ac:dyDescent="0.3">
      <c r="A203" t="s">
        <v>218</v>
      </c>
      <c r="B203" t="s">
        <v>272</v>
      </c>
      <c r="C203" t="s">
        <v>300</v>
      </c>
      <c r="D203" t="s">
        <v>519</v>
      </c>
      <c r="E203">
        <v>5</v>
      </c>
      <c r="F203">
        <v>4</v>
      </c>
      <c r="G203">
        <v>3039</v>
      </c>
      <c r="H203">
        <v>2011</v>
      </c>
      <c r="I203" s="2">
        <v>45327</v>
      </c>
      <c r="J203" t="s">
        <v>566</v>
      </c>
      <c r="K203" t="s">
        <v>572</v>
      </c>
      <c r="L203">
        <v>2095206</v>
      </c>
      <c r="M203">
        <v>689.44</v>
      </c>
      <c r="N203">
        <v>91</v>
      </c>
      <c r="O203">
        <v>25.731999999999999</v>
      </c>
      <c r="P203">
        <v>-80.111000000000004</v>
      </c>
      <c r="Q203" t="s">
        <v>577</v>
      </c>
    </row>
    <row r="204" spans="1:17" x14ac:dyDescent="0.3">
      <c r="A204" t="s">
        <v>219</v>
      </c>
      <c r="B204" t="s">
        <v>267</v>
      </c>
      <c r="C204" t="s">
        <v>311</v>
      </c>
      <c r="D204" t="s">
        <v>520</v>
      </c>
      <c r="E204">
        <v>3</v>
      </c>
      <c r="F204">
        <v>3</v>
      </c>
      <c r="G204">
        <v>1907</v>
      </c>
      <c r="H204">
        <v>1978</v>
      </c>
      <c r="I204" s="2">
        <v>45407</v>
      </c>
      <c r="J204" t="s">
        <v>569</v>
      </c>
      <c r="K204" t="s">
        <v>574</v>
      </c>
      <c r="L204">
        <v>783843</v>
      </c>
      <c r="M204">
        <v>411.03</v>
      </c>
      <c r="N204">
        <v>18</v>
      </c>
      <c r="O204">
        <v>37.735999999999997</v>
      </c>
      <c r="P204">
        <v>-122.271</v>
      </c>
    </row>
    <row r="205" spans="1:17" x14ac:dyDescent="0.3">
      <c r="A205" t="s">
        <v>220</v>
      </c>
      <c r="B205" t="s">
        <v>271</v>
      </c>
      <c r="C205" t="s">
        <v>299</v>
      </c>
      <c r="D205" t="s">
        <v>521</v>
      </c>
      <c r="E205">
        <v>5</v>
      </c>
      <c r="F205">
        <v>4</v>
      </c>
      <c r="G205">
        <v>3074</v>
      </c>
      <c r="H205">
        <v>1971</v>
      </c>
      <c r="I205" s="2">
        <v>45457</v>
      </c>
      <c r="J205" t="s">
        <v>567</v>
      </c>
      <c r="K205" t="s">
        <v>571</v>
      </c>
      <c r="L205">
        <v>2034588</v>
      </c>
      <c r="M205">
        <v>661.87</v>
      </c>
      <c r="N205">
        <v>33</v>
      </c>
      <c r="O205">
        <v>42.338000000000001</v>
      </c>
      <c r="P205">
        <v>-71.006</v>
      </c>
      <c r="Q205" t="s">
        <v>577</v>
      </c>
    </row>
    <row r="206" spans="1:17" x14ac:dyDescent="0.3">
      <c r="A206" t="s">
        <v>221</v>
      </c>
      <c r="B206" t="s">
        <v>275</v>
      </c>
      <c r="C206" t="s">
        <v>308</v>
      </c>
      <c r="D206" t="s">
        <v>522</v>
      </c>
      <c r="E206">
        <v>1</v>
      </c>
      <c r="F206">
        <v>1</v>
      </c>
      <c r="G206">
        <v>1570</v>
      </c>
      <c r="H206">
        <v>1937</v>
      </c>
      <c r="I206" s="2">
        <v>43452</v>
      </c>
      <c r="J206" t="s">
        <v>566</v>
      </c>
      <c r="K206" t="s">
        <v>572</v>
      </c>
      <c r="L206">
        <v>548911</v>
      </c>
      <c r="M206">
        <v>349.62</v>
      </c>
      <c r="N206">
        <v>108</v>
      </c>
      <c r="O206">
        <v>30.315999999999999</v>
      </c>
      <c r="P206">
        <v>-97.77</v>
      </c>
      <c r="Q206" t="s">
        <v>576</v>
      </c>
    </row>
    <row r="207" spans="1:17" x14ac:dyDescent="0.3">
      <c r="A207" t="s">
        <v>222</v>
      </c>
      <c r="B207" t="s">
        <v>273</v>
      </c>
      <c r="C207" t="s">
        <v>285</v>
      </c>
      <c r="D207" t="s">
        <v>407</v>
      </c>
      <c r="E207">
        <v>3</v>
      </c>
      <c r="F207">
        <v>3</v>
      </c>
      <c r="G207">
        <v>2132</v>
      </c>
      <c r="H207">
        <v>1956</v>
      </c>
      <c r="I207" s="2">
        <v>44407</v>
      </c>
      <c r="J207" t="s">
        <v>566</v>
      </c>
      <c r="K207" t="s">
        <v>571</v>
      </c>
      <c r="L207">
        <v>1318699</v>
      </c>
      <c r="M207">
        <v>618.53</v>
      </c>
      <c r="N207">
        <v>56</v>
      </c>
      <c r="O207">
        <v>45.582000000000001</v>
      </c>
      <c r="P207">
        <v>-122.75700000000001</v>
      </c>
      <c r="Q207" t="s">
        <v>576</v>
      </c>
    </row>
    <row r="208" spans="1:17" x14ac:dyDescent="0.3">
      <c r="A208" t="s">
        <v>223</v>
      </c>
      <c r="B208" t="s">
        <v>277</v>
      </c>
      <c r="C208" t="s">
        <v>295</v>
      </c>
      <c r="D208" t="s">
        <v>523</v>
      </c>
      <c r="E208">
        <v>5</v>
      </c>
      <c r="F208">
        <v>5</v>
      </c>
      <c r="G208">
        <v>2820</v>
      </c>
      <c r="H208">
        <v>1920</v>
      </c>
      <c r="I208" s="2">
        <v>45394</v>
      </c>
      <c r="J208" t="s">
        <v>569</v>
      </c>
      <c r="K208" t="s">
        <v>574</v>
      </c>
      <c r="L208">
        <v>1690871</v>
      </c>
      <c r="M208">
        <v>599.6</v>
      </c>
      <c r="N208">
        <v>11</v>
      </c>
      <c r="O208">
        <v>30.216000000000001</v>
      </c>
      <c r="P208">
        <v>-97.759</v>
      </c>
      <c r="Q208" t="s">
        <v>575</v>
      </c>
    </row>
    <row r="209" spans="1:17" x14ac:dyDescent="0.3">
      <c r="A209" t="s">
        <v>224</v>
      </c>
      <c r="B209" t="s">
        <v>272</v>
      </c>
      <c r="C209" t="s">
        <v>294</v>
      </c>
      <c r="D209" t="s">
        <v>524</v>
      </c>
      <c r="E209">
        <v>5</v>
      </c>
      <c r="F209">
        <v>4</v>
      </c>
      <c r="G209">
        <v>2818</v>
      </c>
      <c r="H209">
        <v>1957</v>
      </c>
      <c r="I209" s="2">
        <v>44860</v>
      </c>
      <c r="J209" t="s">
        <v>569</v>
      </c>
      <c r="K209" t="s">
        <v>573</v>
      </c>
      <c r="L209">
        <v>2118220</v>
      </c>
      <c r="M209">
        <v>751.67</v>
      </c>
      <c r="N209">
        <v>75</v>
      </c>
      <c r="O209">
        <v>25.702999999999999</v>
      </c>
      <c r="P209">
        <v>-80.233999999999995</v>
      </c>
      <c r="Q209" t="s">
        <v>579</v>
      </c>
    </row>
    <row r="210" spans="1:17" x14ac:dyDescent="0.3">
      <c r="A210" t="s">
        <v>225</v>
      </c>
      <c r="B210" t="s">
        <v>274</v>
      </c>
      <c r="C210" t="s">
        <v>297</v>
      </c>
      <c r="D210" t="s">
        <v>525</v>
      </c>
      <c r="E210">
        <v>5</v>
      </c>
      <c r="F210">
        <v>5</v>
      </c>
      <c r="G210">
        <v>3098</v>
      </c>
      <c r="H210">
        <v>1941</v>
      </c>
      <c r="I210" s="2">
        <v>44975</v>
      </c>
      <c r="J210" t="s">
        <v>566</v>
      </c>
      <c r="K210" t="s">
        <v>571</v>
      </c>
      <c r="L210">
        <v>2192495</v>
      </c>
      <c r="M210">
        <v>707.71</v>
      </c>
      <c r="N210">
        <v>5</v>
      </c>
      <c r="O210">
        <v>34.122999999999998</v>
      </c>
      <c r="P210">
        <v>-118.23399999999999</v>
      </c>
      <c r="Q210" t="s">
        <v>579</v>
      </c>
    </row>
    <row r="211" spans="1:17" x14ac:dyDescent="0.3">
      <c r="A211" t="s">
        <v>226</v>
      </c>
      <c r="B211" t="s">
        <v>272</v>
      </c>
      <c r="C211" t="s">
        <v>300</v>
      </c>
      <c r="D211" t="s">
        <v>526</v>
      </c>
      <c r="E211">
        <v>4</v>
      </c>
      <c r="F211">
        <v>4</v>
      </c>
      <c r="G211">
        <v>2369</v>
      </c>
      <c r="H211">
        <v>1944</v>
      </c>
      <c r="I211" s="2">
        <v>44976</v>
      </c>
      <c r="J211" t="s">
        <v>570</v>
      </c>
      <c r="K211" t="s">
        <v>573</v>
      </c>
      <c r="L211">
        <v>1476585</v>
      </c>
      <c r="M211">
        <v>623.29</v>
      </c>
      <c r="N211">
        <v>67</v>
      </c>
      <c r="O211">
        <v>25.795000000000002</v>
      </c>
      <c r="P211">
        <v>-80.13</v>
      </c>
      <c r="Q211" t="s">
        <v>577</v>
      </c>
    </row>
    <row r="212" spans="1:17" x14ac:dyDescent="0.3">
      <c r="A212" t="s">
        <v>227</v>
      </c>
      <c r="B212" t="s">
        <v>275</v>
      </c>
      <c r="C212" t="s">
        <v>308</v>
      </c>
      <c r="D212" t="s">
        <v>527</v>
      </c>
      <c r="E212">
        <v>1</v>
      </c>
      <c r="F212">
        <v>1</v>
      </c>
      <c r="G212">
        <v>1077</v>
      </c>
      <c r="H212">
        <v>1914</v>
      </c>
      <c r="I212" s="2">
        <v>44630</v>
      </c>
      <c r="J212" t="s">
        <v>567</v>
      </c>
      <c r="K212" t="s">
        <v>571</v>
      </c>
      <c r="L212">
        <v>477723</v>
      </c>
      <c r="M212">
        <v>443.57</v>
      </c>
      <c r="N212">
        <v>30</v>
      </c>
      <c r="O212">
        <v>30.254000000000001</v>
      </c>
      <c r="P212">
        <v>-97.811999999999998</v>
      </c>
      <c r="Q212" t="s">
        <v>578</v>
      </c>
    </row>
    <row r="213" spans="1:17" x14ac:dyDescent="0.3">
      <c r="A213" t="s">
        <v>228</v>
      </c>
      <c r="B213" t="s">
        <v>270</v>
      </c>
      <c r="C213" t="s">
        <v>281</v>
      </c>
      <c r="D213" t="s">
        <v>528</v>
      </c>
      <c r="E213">
        <v>2</v>
      </c>
      <c r="F213">
        <v>2</v>
      </c>
      <c r="G213">
        <v>1693</v>
      </c>
      <c r="H213">
        <v>1962</v>
      </c>
      <c r="I213" s="2">
        <v>43675</v>
      </c>
      <c r="J213" t="s">
        <v>567</v>
      </c>
      <c r="K213" t="s">
        <v>571</v>
      </c>
      <c r="L213">
        <v>845429</v>
      </c>
      <c r="M213">
        <v>499.37</v>
      </c>
      <c r="N213">
        <v>14</v>
      </c>
      <c r="O213">
        <v>40.700000000000003</v>
      </c>
      <c r="P213">
        <v>-74.099000000000004</v>
      </c>
      <c r="Q213" t="s">
        <v>576</v>
      </c>
    </row>
    <row r="214" spans="1:17" x14ac:dyDescent="0.3">
      <c r="A214" t="s">
        <v>229</v>
      </c>
      <c r="B214" t="s">
        <v>275</v>
      </c>
      <c r="C214" t="s">
        <v>295</v>
      </c>
      <c r="D214" t="s">
        <v>529</v>
      </c>
      <c r="E214">
        <v>4</v>
      </c>
      <c r="F214">
        <v>3</v>
      </c>
      <c r="G214">
        <v>2606</v>
      </c>
      <c r="H214">
        <v>1964</v>
      </c>
      <c r="I214" s="2">
        <v>44776</v>
      </c>
      <c r="J214" t="s">
        <v>569</v>
      </c>
      <c r="K214" t="s">
        <v>571</v>
      </c>
      <c r="L214">
        <v>1427496</v>
      </c>
      <c r="M214">
        <v>547.77</v>
      </c>
      <c r="N214">
        <v>3</v>
      </c>
      <c r="O214">
        <v>30.338000000000001</v>
      </c>
      <c r="P214">
        <v>-97.742000000000004</v>
      </c>
    </row>
    <row r="215" spans="1:17" x14ac:dyDescent="0.3">
      <c r="A215" t="s">
        <v>230</v>
      </c>
      <c r="B215" t="s">
        <v>276</v>
      </c>
      <c r="C215" t="s">
        <v>317</v>
      </c>
      <c r="D215" t="s">
        <v>530</v>
      </c>
      <c r="E215">
        <v>1</v>
      </c>
      <c r="F215">
        <v>1</v>
      </c>
      <c r="G215">
        <v>1176</v>
      </c>
      <c r="H215">
        <v>1968</v>
      </c>
      <c r="I215" s="2">
        <v>43789</v>
      </c>
      <c r="J215" t="s">
        <v>569</v>
      </c>
      <c r="K215" t="s">
        <v>571</v>
      </c>
      <c r="L215">
        <v>465790</v>
      </c>
      <c r="M215">
        <v>396.08</v>
      </c>
      <c r="N215">
        <v>85</v>
      </c>
      <c r="O215">
        <v>41.935000000000002</v>
      </c>
      <c r="P215">
        <v>-87.620999999999995</v>
      </c>
      <c r="Q215" t="s">
        <v>577</v>
      </c>
    </row>
    <row r="216" spans="1:17" x14ac:dyDescent="0.3">
      <c r="A216" t="s">
        <v>231</v>
      </c>
      <c r="B216" t="s">
        <v>267</v>
      </c>
      <c r="C216" t="s">
        <v>285</v>
      </c>
      <c r="D216" t="s">
        <v>531</v>
      </c>
      <c r="E216">
        <v>5</v>
      </c>
      <c r="F216">
        <v>4</v>
      </c>
      <c r="G216">
        <v>2635</v>
      </c>
      <c r="H216">
        <v>1946</v>
      </c>
      <c r="I216" s="2">
        <v>43271</v>
      </c>
      <c r="J216" t="s">
        <v>569</v>
      </c>
      <c r="K216" t="s">
        <v>571</v>
      </c>
      <c r="L216">
        <v>1359373</v>
      </c>
      <c r="M216">
        <v>515.89</v>
      </c>
      <c r="N216">
        <v>27</v>
      </c>
      <c r="O216">
        <v>37.868000000000002</v>
      </c>
      <c r="P216">
        <v>-122.41</v>
      </c>
      <c r="Q216" t="s">
        <v>579</v>
      </c>
    </row>
    <row r="217" spans="1:17" x14ac:dyDescent="0.3">
      <c r="A217" t="s">
        <v>232</v>
      </c>
      <c r="B217" t="s">
        <v>271</v>
      </c>
      <c r="C217" t="s">
        <v>283</v>
      </c>
      <c r="D217" t="s">
        <v>532</v>
      </c>
      <c r="E217">
        <v>4</v>
      </c>
      <c r="F217">
        <v>4</v>
      </c>
      <c r="G217">
        <v>2332</v>
      </c>
      <c r="H217">
        <v>2010</v>
      </c>
      <c r="I217" s="2">
        <v>44899</v>
      </c>
      <c r="J217" t="s">
        <v>566</v>
      </c>
      <c r="K217" t="s">
        <v>572</v>
      </c>
      <c r="L217">
        <v>1086404</v>
      </c>
      <c r="M217">
        <v>465.87</v>
      </c>
      <c r="N217">
        <v>33</v>
      </c>
      <c r="O217">
        <v>42.307000000000002</v>
      </c>
      <c r="P217">
        <v>-70.998000000000005</v>
      </c>
      <c r="Q217" t="s">
        <v>577</v>
      </c>
    </row>
    <row r="218" spans="1:17" x14ac:dyDescent="0.3">
      <c r="A218" t="s">
        <v>233</v>
      </c>
      <c r="B218" t="s">
        <v>274</v>
      </c>
      <c r="C218" t="s">
        <v>292</v>
      </c>
      <c r="D218" t="s">
        <v>533</v>
      </c>
      <c r="E218">
        <v>2</v>
      </c>
      <c r="F218">
        <v>1</v>
      </c>
      <c r="G218">
        <v>1742</v>
      </c>
      <c r="H218">
        <v>2000</v>
      </c>
      <c r="I218" s="2">
        <v>43948</v>
      </c>
      <c r="J218" t="s">
        <v>566</v>
      </c>
      <c r="K218" t="s">
        <v>571</v>
      </c>
      <c r="L218">
        <v>1052677</v>
      </c>
      <c r="M218">
        <v>604.29</v>
      </c>
      <c r="N218">
        <v>90</v>
      </c>
      <c r="O218">
        <v>34.055999999999997</v>
      </c>
      <c r="P218">
        <v>-118.221</v>
      </c>
      <c r="Q218" t="s">
        <v>575</v>
      </c>
    </row>
    <row r="219" spans="1:17" x14ac:dyDescent="0.3">
      <c r="A219" t="s">
        <v>234</v>
      </c>
      <c r="B219" t="s">
        <v>271</v>
      </c>
      <c r="C219" t="s">
        <v>287</v>
      </c>
      <c r="D219" t="s">
        <v>534</v>
      </c>
      <c r="E219">
        <v>3</v>
      </c>
      <c r="F219">
        <v>2</v>
      </c>
      <c r="G219">
        <v>2382</v>
      </c>
      <c r="H219">
        <v>1965</v>
      </c>
      <c r="I219" s="2">
        <v>43656</v>
      </c>
      <c r="J219" t="s">
        <v>569</v>
      </c>
      <c r="K219" t="s">
        <v>572</v>
      </c>
      <c r="L219">
        <v>1222498</v>
      </c>
      <c r="M219">
        <v>513.22</v>
      </c>
      <c r="N219">
        <v>1</v>
      </c>
      <c r="O219">
        <v>42.457999999999998</v>
      </c>
      <c r="P219">
        <v>-70.986999999999995</v>
      </c>
      <c r="Q219" t="s">
        <v>575</v>
      </c>
    </row>
    <row r="220" spans="1:17" x14ac:dyDescent="0.3">
      <c r="A220" t="s">
        <v>235</v>
      </c>
      <c r="B220" t="s">
        <v>276</v>
      </c>
      <c r="C220" t="s">
        <v>305</v>
      </c>
      <c r="D220" t="s">
        <v>535</v>
      </c>
      <c r="E220">
        <v>3</v>
      </c>
      <c r="F220">
        <v>2</v>
      </c>
      <c r="G220">
        <v>2743</v>
      </c>
      <c r="H220">
        <v>1997</v>
      </c>
      <c r="I220" s="2">
        <v>45105</v>
      </c>
      <c r="J220" t="s">
        <v>567</v>
      </c>
      <c r="K220" t="s">
        <v>571</v>
      </c>
      <c r="L220">
        <v>1410152</v>
      </c>
      <c r="M220">
        <v>514.09</v>
      </c>
      <c r="N220">
        <v>35</v>
      </c>
      <c r="O220">
        <v>41.834000000000003</v>
      </c>
      <c r="P220">
        <v>-87.637</v>
      </c>
      <c r="Q220" t="s">
        <v>578</v>
      </c>
    </row>
    <row r="221" spans="1:17" x14ac:dyDescent="0.3">
      <c r="A221" t="s">
        <v>236</v>
      </c>
      <c r="B221" t="s">
        <v>272</v>
      </c>
      <c r="C221" t="s">
        <v>300</v>
      </c>
      <c r="D221" t="s">
        <v>536</v>
      </c>
      <c r="E221">
        <v>3</v>
      </c>
      <c r="F221">
        <v>2</v>
      </c>
      <c r="G221">
        <v>2094</v>
      </c>
      <c r="H221">
        <v>2012</v>
      </c>
      <c r="I221" s="2">
        <v>44963</v>
      </c>
      <c r="J221" t="s">
        <v>569</v>
      </c>
      <c r="K221" t="s">
        <v>571</v>
      </c>
      <c r="L221">
        <v>1214519</v>
      </c>
      <c r="M221">
        <v>580</v>
      </c>
      <c r="N221">
        <v>30</v>
      </c>
      <c r="O221">
        <v>25.66</v>
      </c>
      <c r="P221">
        <v>-80.135000000000005</v>
      </c>
      <c r="Q221" t="s">
        <v>579</v>
      </c>
    </row>
    <row r="222" spans="1:17" x14ac:dyDescent="0.3">
      <c r="A222" t="s">
        <v>237</v>
      </c>
      <c r="B222" t="s">
        <v>269</v>
      </c>
      <c r="C222" t="s">
        <v>321</v>
      </c>
      <c r="D222" t="s">
        <v>537</v>
      </c>
      <c r="E222">
        <v>5</v>
      </c>
      <c r="F222">
        <v>5</v>
      </c>
      <c r="G222">
        <v>2557</v>
      </c>
      <c r="H222">
        <v>1954</v>
      </c>
      <c r="I222" s="2">
        <v>45127</v>
      </c>
      <c r="J222" t="s">
        <v>568</v>
      </c>
      <c r="K222" t="s">
        <v>571</v>
      </c>
      <c r="L222">
        <v>1599679</v>
      </c>
      <c r="M222">
        <v>625.61</v>
      </c>
      <c r="N222">
        <v>34</v>
      </c>
      <c r="O222">
        <v>39.697000000000003</v>
      </c>
      <c r="P222">
        <v>-104.98099999999999</v>
      </c>
      <c r="Q222" t="s">
        <v>575</v>
      </c>
    </row>
    <row r="223" spans="1:17" x14ac:dyDescent="0.3">
      <c r="A223" t="s">
        <v>238</v>
      </c>
      <c r="B223" t="s">
        <v>269</v>
      </c>
      <c r="C223" t="s">
        <v>321</v>
      </c>
      <c r="D223" t="s">
        <v>538</v>
      </c>
      <c r="E223">
        <v>1</v>
      </c>
      <c r="F223">
        <v>1</v>
      </c>
      <c r="G223">
        <v>1364</v>
      </c>
      <c r="H223">
        <v>2000</v>
      </c>
      <c r="I223" s="2">
        <v>43167</v>
      </c>
      <c r="J223" t="s">
        <v>566</v>
      </c>
      <c r="K223" t="s">
        <v>572</v>
      </c>
      <c r="L223">
        <v>584363</v>
      </c>
      <c r="M223">
        <v>428.42</v>
      </c>
      <c r="N223">
        <v>38</v>
      </c>
      <c r="O223">
        <v>39.671999999999997</v>
      </c>
      <c r="P223">
        <v>-104.999</v>
      </c>
      <c r="Q223" t="s">
        <v>578</v>
      </c>
    </row>
    <row r="224" spans="1:17" x14ac:dyDescent="0.3">
      <c r="A224" t="s">
        <v>239</v>
      </c>
      <c r="B224" t="s">
        <v>271</v>
      </c>
      <c r="C224" t="s">
        <v>299</v>
      </c>
      <c r="D224" t="s">
        <v>539</v>
      </c>
      <c r="E224">
        <v>3</v>
      </c>
      <c r="F224">
        <v>3</v>
      </c>
      <c r="G224">
        <v>2036</v>
      </c>
      <c r="H224">
        <v>1946</v>
      </c>
      <c r="I224" s="2">
        <v>43438</v>
      </c>
      <c r="J224" t="s">
        <v>568</v>
      </c>
      <c r="K224" t="s">
        <v>571</v>
      </c>
      <c r="L224">
        <v>1197649</v>
      </c>
      <c r="M224">
        <v>588.24</v>
      </c>
      <c r="N224">
        <v>44</v>
      </c>
      <c r="O224">
        <v>42.39</v>
      </c>
      <c r="P224">
        <v>-71.150000000000006</v>
      </c>
      <c r="Q224" t="s">
        <v>579</v>
      </c>
    </row>
    <row r="225" spans="1:17" x14ac:dyDescent="0.3">
      <c r="A225" t="s">
        <v>240</v>
      </c>
      <c r="B225" t="s">
        <v>272</v>
      </c>
      <c r="C225" t="s">
        <v>294</v>
      </c>
      <c r="D225" t="s">
        <v>540</v>
      </c>
      <c r="E225">
        <v>1</v>
      </c>
      <c r="F225">
        <v>1</v>
      </c>
      <c r="G225">
        <v>1773</v>
      </c>
      <c r="H225">
        <v>1961</v>
      </c>
      <c r="I225" s="2">
        <v>43644</v>
      </c>
      <c r="J225" t="s">
        <v>570</v>
      </c>
      <c r="K225" t="s">
        <v>573</v>
      </c>
      <c r="L225">
        <v>907067</v>
      </c>
      <c r="M225">
        <v>511.6</v>
      </c>
      <c r="N225">
        <v>27</v>
      </c>
      <c r="O225">
        <v>25.795999999999999</v>
      </c>
      <c r="P225">
        <v>-80.287999999999997</v>
      </c>
      <c r="Q225" t="s">
        <v>579</v>
      </c>
    </row>
    <row r="226" spans="1:17" x14ac:dyDescent="0.3">
      <c r="A226" t="s">
        <v>241</v>
      </c>
      <c r="B226" t="s">
        <v>272</v>
      </c>
      <c r="C226" t="s">
        <v>298</v>
      </c>
      <c r="D226" t="s">
        <v>541</v>
      </c>
      <c r="E226">
        <v>4</v>
      </c>
      <c r="F226">
        <v>4</v>
      </c>
      <c r="G226">
        <v>2314</v>
      </c>
      <c r="H226">
        <v>1949</v>
      </c>
      <c r="I226" s="2">
        <v>43520</v>
      </c>
      <c r="J226" t="s">
        <v>566</v>
      </c>
      <c r="K226" t="s">
        <v>571</v>
      </c>
      <c r="L226">
        <v>1385824</v>
      </c>
      <c r="M226">
        <v>598.89</v>
      </c>
      <c r="N226">
        <v>7</v>
      </c>
      <c r="O226">
        <v>25.835999999999999</v>
      </c>
      <c r="P226">
        <v>-80.263000000000005</v>
      </c>
      <c r="Q226" t="s">
        <v>575</v>
      </c>
    </row>
    <row r="227" spans="1:17" x14ac:dyDescent="0.3">
      <c r="A227" t="s">
        <v>242</v>
      </c>
      <c r="B227" t="s">
        <v>267</v>
      </c>
      <c r="C227" t="s">
        <v>286</v>
      </c>
      <c r="D227" t="s">
        <v>542</v>
      </c>
      <c r="E227">
        <v>5</v>
      </c>
      <c r="F227">
        <v>5</v>
      </c>
      <c r="G227">
        <v>2506</v>
      </c>
      <c r="H227">
        <v>1983</v>
      </c>
      <c r="I227" s="2">
        <v>44903</v>
      </c>
      <c r="J227" t="s">
        <v>568</v>
      </c>
      <c r="K227" t="s">
        <v>572</v>
      </c>
      <c r="L227">
        <v>1308911</v>
      </c>
      <c r="M227">
        <v>522.30999999999995</v>
      </c>
      <c r="N227">
        <v>87</v>
      </c>
      <c r="O227">
        <v>37.795999999999999</v>
      </c>
      <c r="P227">
        <v>-122.4</v>
      </c>
      <c r="Q227" t="s">
        <v>578</v>
      </c>
    </row>
    <row r="228" spans="1:17" x14ac:dyDescent="0.3">
      <c r="A228" t="s">
        <v>243</v>
      </c>
      <c r="B228" t="s">
        <v>276</v>
      </c>
      <c r="C228" t="s">
        <v>307</v>
      </c>
      <c r="D228" t="s">
        <v>543</v>
      </c>
      <c r="E228">
        <v>1</v>
      </c>
      <c r="F228">
        <v>1</v>
      </c>
      <c r="G228">
        <v>1734</v>
      </c>
      <c r="H228">
        <v>1915</v>
      </c>
      <c r="I228" s="2">
        <v>44673</v>
      </c>
      <c r="J228" t="s">
        <v>568</v>
      </c>
      <c r="K228" t="s">
        <v>574</v>
      </c>
      <c r="L228">
        <v>818012</v>
      </c>
      <c r="M228">
        <v>471.75</v>
      </c>
      <c r="N228">
        <v>56</v>
      </c>
      <c r="O228">
        <v>41.843000000000004</v>
      </c>
      <c r="P228">
        <v>-87.691999999999993</v>
      </c>
      <c r="Q228" t="s">
        <v>576</v>
      </c>
    </row>
    <row r="229" spans="1:17" x14ac:dyDescent="0.3">
      <c r="A229" t="s">
        <v>244</v>
      </c>
      <c r="B229" t="s">
        <v>276</v>
      </c>
      <c r="C229" t="s">
        <v>318</v>
      </c>
      <c r="D229" t="s">
        <v>544</v>
      </c>
      <c r="E229">
        <v>5</v>
      </c>
      <c r="F229">
        <v>4</v>
      </c>
      <c r="G229">
        <v>2418</v>
      </c>
      <c r="H229">
        <v>1977</v>
      </c>
      <c r="I229" s="2">
        <v>43210</v>
      </c>
      <c r="J229" t="s">
        <v>568</v>
      </c>
      <c r="K229" t="s">
        <v>573</v>
      </c>
      <c r="L229">
        <v>1422874</v>
      </c>
      <c r="M229">
        <v>588.45000000000005</v>
      </c>
      <c r="N229">
        <v>49</v>
      </c>
      <c r="O229">
        <v>41.901000000000003</v>
      </c>
      <c r="P229">
        <v>-87.682000000000002</v>
      </c>
      <c r="Q229" t="s">
        <v>578</v>
      </c>
    </row>
    <row r="230" spans="1:17" x14ac:dyDescent="0.3">
      <c r="A230" t="s">
        <v>245</v>
      </c>
      <c r="B230" t="s">
        <v>276</v>
      </c>
      <c r="C230" t="s">
        <v>301</v>
      </c>
      <c r="D230" t="s">
        <v>545</v>
      </c>
      <c r="E230">
        <v>4</v>
      </c>
      <c r="F230">
        <v>4</v>
      </c>
      <c r="G230">
        <v>2094</v>
      </c>
      <c r="H230">
        <v>1963</v>
      </c>
      <c r="I230" s="2">
        <v>43391</v>
      </c>
      <c r="J230" t="s">
        <v>570</v>
      </c>
      <c r="K230" t="s">
        <v>572</v>
      </c>
      <c r="L230">
        <v>1252289</v>
      </c>
      <c r="M230">
        <v>598.04</v>
      </c>
      <c r="N230">
        <v>27</v>
      </c>
      <c r="O230">
        <v>41.781999999999996</v>
      </c>
      <c r="P230">
        <v>-87.647999999999996</v>
      </c>
      <c r="Q230" t="s">
        <v>576</v>
      </c>
    </row>
    <row r="231" spans="1:17" x14ac:dyDescent="0.3">
      <c r="A231" t="s">
        <v>246</v>
      </c>
      <c r="B231" t="s">
        <v>274</v>
      </c>
      <c r="C231" t="s">
        <v>292</v>
      </c>
      <c r="D231" t="s">
        <v>546</v>
      </c>
      <c r="E231">
        <v>3</v>
      </c>
      <c r="F231">
        <v>3</v>
      </c>
      <c r="G231">
        <v>2006</v>
      </c>
      <c r="H231">
        <v>1922</v>
      </c>
      <c r="I231" s="2">
        <v>43399</v>
      </c>
      <c r="J231" t="s">
        <v>566</v>
      </c>
      <c r="K231" t="s">
        <v>571</v>
      </c>
      <c r="L231">
        <v>1330816</v>
      </c>
      <c r="M231">
        <v>663.42</v>
      </c>
      <c r="N231">
        <v>48</v>
      </c>
      <c r="O231">
        <v>33.953000000000003</v>
      </c>
      <c r="P231">
        <v>-118.297</v>
      </c>
    </row>
    <row r="232" spans="1:17" x14ac:dyDescent="0.3">
      <c r="A232" t="s">
        <v>247</v>
      </c>
      <c r="B232" t="s">
        <v>273</v>
      </c>
      <c r="C232" t="s">
        <v>286</v>
      </c>
      <c r="D232" t="s">
        <v>547</v>
      </c>
      <c r="E232">
        <v>5</v>
      </c>
      <c r="F232">
        <v>4</v>
      </c>
      <c r="G232">
        <v>2610</v>
      </c>
      <c r="H232">
        <v>1954</v>
      </c>
      <c r="I232" s="2">
        <v>43438</v>
      </c>
      <c r="J232" t="s">
        <v>570</v>
      </c>
      <c r="K232" t="s">
        <v>571</v>
      </c>
      <c r="L232">
        <v>1979523</v>
      </c>
      <c r="M232">
        <v>758.44</v>
      </c>
      <c r="N232">
        <v>2</v>
      </c>
      <c r="O232">
        <v>45.451000000000001</v>
      </c>
      <c r="P232">
        <v>-122.76300000000001</v>
      </c>
    </row>
    <row r="233" spans="1:17" x14ac:dyDescent="0.3">
      <c r="A233" t="s">
        <v>248</v>
      </c>
      <c r="B233" t="s">
        <v>275</v>
      </c>
      <c r="C233" t="s">
        <v>302</v>
      </c>
      <c r="D233" t="s">
        <v>548</v>
      </c>
      <c r="E233">
        <v>3</v>
      </c>
      <c r="F233">
        <v>3</v>
      </c>
      <c r="G233">
        <v>2254</v>
      </c>
      <c r="H233">
        <v>1981</v>
      </c>
      <c r="I233" s="2">
        <v>44371</v>
      </c>
      <c r="J233" t="s">
        <v>569</v>
      </c>
      <c r="K233" t="s">
        <v>572</v>
      </c>
      <c r="L233">
        <v>1142888</v>
      </c>
      <c r="M233">
        <v>507.05</v>
      </c>
      <c r="N233">
        <v>25</v>
      </c>
      <c r="O233">
        <v>30.338999999999999</v>
      </c>
      <c r="P233">
        <v>-97.828000000000003</v>
      </c>
    </row>
    <row r="234" spans="1:17" x14ac:dyDescent="0.3">
      <c r="A234" t="s">
        <v>249</v>
      </c>
      <c r="B234" t="s">
        <v>270</v>
      </c>
      <c r="C234" t="s">
        <v>281</v>
      </c>
      <c r="D234" t="s">
        <v>549</v>
      </c>
      <c r="E234">
        <v>5</v>
      </c>
      <c r="F234">
        <v>5</v>
      </c>
      <c r="G234">
        <v>2782</v>
      </c>
      <c r="H234">
        <v>1985</v>
      </c>
      <c r="I234" s="2">
        <v>43590</v>
      </c>
      <c r="J234" t="s">
        <v>566</v>
      </c>
      <c r="K234" t="s">
        <v>572</v>
      </c>
      <c r="L234">
        <v>1771991</v>
      </c>
      <c r="M234">
        <v>636.95000000000005</v>
      </c>
      <c r="N234">
        <v>62</v>
      </c>
      <c r="O234">
        <v>40.75</v>
      </c>
      <c r="P234">
        <v>-74.076999999999998</v>
      </c>
      <c r="Q234" t="s">
        <v>576</v>
      </c>
    </row>
    <row r="235" spans="1:17" x14ac:dyDescent="0.3">
      <c r="A235" t="s">
        <v>250</v>
      </c>
      <c r="B235" t="s">
        <v>271</v>
      </c>
      <c r="C235" t="s">
        <v>299</v>
      </c>
      <c r="D235" t="s">
        <v>550</v>
      </c>
      <c r="E235">
        <v>3</v>
      </c>
      <c r="F235">
        <v>3</v>
      </c>
      <c r="G235">
        <v>2054</v>
      </c>
      <c r="H235">
        <v>1999</v>
      </c>
      <c r="I235" s="2">
        <v>43584</v>
      </c>
      <c r="J235" t="s">
        <v>566</v>
      </c>
      <c r="K235" t="s">
        <v>571</v>
      </c>
      <c r="L235">
        <v>1043099</v>
      </c>
      <c r="M235">
        <v>507.84</v>
      </c>
      <c r="N235">
        <v>66</v>
      </c>
      <c r="O235">
        <v>42.345999999999997</v>
      </c>
      <c r="P235">
        <v>-71.055000000000007</v>
      </c>
      <c r="Q235" t="s">
        <v>576</v>
      </c>
    </row>
    <row r="236" spans="1:17" x14ac:dyDescent="0.3">
      <c r="A236" t="s">
        <v>251</v>
      </c>
      <c r="B236" t="s">
        <v>267</v>
      </c>
      <c r="C236" t="s">
        <v>293</v>
      </c>
      <c r="D236" t="s">
        <v>551</v>
      </c>
      <c r="E236">
        <v>4</v>
      </c>
      <c r="F236">
        <v>4</v>
      </c>
      <c r="G236">
        <v>2224</v>
      </c>
      <c r="H236">
        <v>1907</v>
      </c>
      <c r="I236" s="2">
        <v>45422</v>
      </c>
      <c r="J236" t="s">
        <v>567</v>
      </c>
      <c r="K236" t="s">
        <v>571</v>
      </c>
      <c r="L236">
        <v>1044678</v>
      </c>
      <c r="M236">
        <v>469.73</v>
      </c>
      <c r="N236">
        <v>11</v>
      </c>
      <c r="O236">
        <v>37.720999999999997</v>
      </c>
      <c r="P236">
        <v>-122.40900000000001</v>
      </c>
      <c r="Q236" t="s">
        <v>577</v>
      </c>
    </row>
    <row r="237" spans="1:17" x14ac:dyDescent="0.3">
      <c r="A237" t="s">
        <v>252</v>
      </c>
      <c r="B237" t="s">
        <v>276</v>
      </c>
      <c r="C237" t="s">
        <v>318</v>
      </c>
      <c r="D237" t="s">
        <v>552</v>
      </c>
      <c r="E237">
        <v>1</v>
      </c>
      <c r="F237">
        <v>1</v>
      </c>
      <c r="G237">
        <v>1652</v>
      </c>
      <c r="H237">
        <v>2010</v>
      </c>
      <c r="I237" s="2">
        <v>44102</v>
      </c>
      <c r="J237" t="s">
        <v>566</v>
      </c>
      <c r="K237" t="s">
        <v>571</v>
      </c>
      <c r="L237">
        <v>573873</v>
      </c>
      <c r="M237">
        <v>347.38</v>
      </c>
      <c r="N237">
        <v>87</v>
      </c>
      <c r="O237">
        <v>41.856999999999999</v>
      </c>
      <c r="P237">
        <v>-87.69</v>
      </c>
    </row>
    <row r="238" spans="1:17" x14ac:dyDescent="0.3">
      <c r="A238" t="s">
        <v>253</v>
      </c>
      <c r="B238" t="s">
        <v>276</v>
      </c>
      <c r="C238" t="s">
        <v>317</v>
      </c>
      <c r="D238" t="s">
        <v>553</v>
      </c>
      <c r="E238">
        <v>2</v>
      </c>
      <c r="F238">
        <v>2</v>
      </c>
      <c r="G238">
        <v>1280</v>
      </c>
      <c r="H238">
        <v>1992</v>
      </c>
      <c r="I238" s="2">
        <v>44212</v>
      </c>
      <c r="J238" t="s">
        <v>566</v>
      </c>
      <c r="K238" t="s">
        <v>571</v>
      </c>
      <c r="L238">
        <v>676807</v>
      </c>
      <c r="M238">
        <v>528.76</v>
      </c>
      <c r="N238">
        <v>41</v>
      </c>
      <c r="O238">
        <v>41.804000000000002</v>
      </c>
      <c r="P238">
        <v>-87.584999999999994</v>
      </c>
    </row>
    <row r="239" spans="1:17" x14ac:dyDescent="0.3">
      <c r="A239" t="s">
        <v>254</v>
      </c>
      <c r="B239" t="s">
        <v>273</v>
      </c>
      <c r="C239" t="s">
        <v>309</v>
      </c>
      <c r="D239" t="s">
        <v>554</v>
      </c>
      <c r="E239">
        <v>4</v>
      </c>
      <c r="F239">
        <v>4</v>
      </c>
      <c r="G239">
        <v>2376</v>
      </c>
      <c r="H239">
        <v>1959</v>
      </c>
      <c r="I239" s="2">
        <v>44373</v>
      </c>
      <c r="J239" t="s">
        <v>568</v>
      </c>
      <c r="K239" t="s">
        <v>573</v>
      </c>
      <c r="L239">
        <v>1514389</v>
      </c>
      <c r="M239">
        <v>637.37</v>
      </c>
      <c r="N239">
        <v>46</v>
      </c>
      <c r="O239">
        <v>45.511000000000003</v>
      </c>
      <c r="P239">
        <v>-122.706</v>
      </c>
      <c r="Q239" t="s">
        <v>576</v>
      </c>
    </row>
    <row r="240" spans="1:17" x14ac:dyDescent="0.3">
      <c r="A240" t="s">
        <v>255</v>
      </c>
      <c r="B240" t="s">
        <v>274</v>
      </c>
      <c r="C240" t="s">
        <v>320</v>
      </c>
      <c r="D240" t="s">
        <v>555</v>
      </c>
      <c r="E240">
        <v>4</v>
      </c>
      <c r="F240">
        <v>4</v>
      </c>
      <c r="G240">
        <v>2391</v>
      </c>
      <c r="H240">
        <v>1963</v>
      </c>
      <c r="I240" s="2">
        <v>45339</v>
      </c>
      <c r="J240" t="s">
        <v>567</v>
      </c>
      <c r="K240" t="s">
        <v>573</v>
      </c>
      <c r="L240">
        <v>1723891</v>
      </c>
      <c r="M240">
        <v>720.99</v>
      </c>
      <c r="N240">
        <v>38</v>
      </c>
      <c r="O240">
        <v>34.136000000000003</v>
      </c>
      <c r="P240">
        <v>-118.33499999999999</v>
      </c>
      <c r="Q240" t="s">
        <v>577</v>
      </c>
    </row>
    <row r="241" spans="1:17" x14ac:dyDescent="0.3">
      <c r="A241" t="s">
        <v>256</v>
      </c>
      <c r="B241" t="s">
        <v>269</v>
      </c>
      <c r="C241" t="s">
        <v>321</v>
      </c>
      <c r="D241" t="s">
        <v>556</v>
      </c>
      <c r="E241">
        <v>4</v>
      </c>
      <c r="F241">
        <v>3</v>
      </c>
      <c r="G241">
        <v>2438</v>
      </c>
      <c r="H241">
        <v>1993</v>
      </c>
      <c r="I241" s="2">
        <v>43526</v>
      </c>
      <c r="J241" t="s">
        <v>567</v>
      </c>
      <c r="K241" t="s">
        <v>571</v>
      </c>
      <c r="L241">
        <v>1426383</v>
      </c>
      <c r="M241">
        <v>585.05999999999995</v>
      </c>
      <c r="N241">
        <v>33</v>
      </c>
      <c r="O241">
        <v>39.688000000000002</v>
      </c>
      <c r="P241">
        <v>-104.992</v>
      </c>
    </row>
    <row r="242" spans="1:17" x14ac:dyDescent="0.3">
      <c r="A242" t="s">
        <v>257</v>
      </c>
      <c r="B242" t="s">
        <v>267</v>
      </c>
      <c r="C242" t="s">
        <v>278</v>
      </c>
      <c r="D242" t="s">
        <v>557</v>
      </c>
      <c r="E242">
        <v>2</v>
      </c>
      <c r="F242">
        <v>1</v>
      </c>
      <c r="G242">
        <v>1877</v>
      </c>
      <c r="H242">
        <v>1966</v>
      </c>
      <c r="I242" s="2">
        <v>44626</v>
      </c>
      <c r="J242" t="s">
        <v>569</v>
      </c>
      <c r="K242" t="s">
        <v>574</v>
      </c>
      <c r="L242">
        <v>667774</v>
      </c>
      <c r="M242">
        <v>355.77</v>
      </c>
      <c r="N242">
        <v>5</v>
      </c>
      <c r="O242">
        <v>37.686999999999998</v>
      </c>
      <c r="P242">
        <v>-122.411</v>
      </c>
      <c r="Q242" t="s">
        <v>575</v>
      </c>
    </row>
    <row r="243" spans="1:17" x14ac:dyDescent="0.3">
      <c r="A243" t="s">
        <v>258</v>
      </c>
      <c r="B243" t="s">
        <v>267</v>
      </c>
      <c r="C243" t="s">
        <v>286</v>
      </c>
      <c r="D243" t="s">
        <v>558</v>
      </c>
      <c r="E243">
        <v>5</v>
      </c>
      <c r="F243">
        <v>5</v>
      </c>
      <c r="G243">
        <v>2886</v>
      </c>
      <c r="H243">
        <v>1984</v>
      </c>
      <c r="I243" s="2">
        <v>44070</v>
      </c>
      <c r="J243" t="s">
        <v>568</v>
      </c>
      <c r="K243" t="s">
        <v>571</v>
      </c>
      <c r="M243">
        <v>573.04</v>
      </c>
      <c r="N243">
        <v>29</v>
      </c>
      <c r="O243">
        <v>37.732999999999997</v>
      </c>
      <c r="P243">
        <v>-122.27</v>
      </c>
      <c r="Q243" t="s">
        <v>579</v>
      </c>
    </row>
    <row r="244" spans="1:17" x14ac:dyDescent="0.3">
      <c r="A244" t="s">
        <v>259</v>
      </c>
      <c r="B244" t="s">
        <v>269</v>
      </c>
      <c r="C244" t="s">
        <v>288</v>
      </c>
      <c r="D244" t="s">
        <v>559</v>
      </c>
      <c r="E244">
        <v>3</v>
      </c>
      <c r="F244">
        <v>3</v>
      </c>
      <c r="G244">
        <v>2105</v>
      </c>
      <c r="H244">
        <v>2020</v>
      </c>
      <c r="I244" s="2">
        <v>43658</v>
      </c>
      <c r="J244" t="s">
        <v>570</v>
      </c>
      <c r="K244" t="s">
        <v>573</v>
      </c>
      <c r="L244">
        <v>1180504</v>
      </c>
      <c r="M244">
        <v>560.80999999999995</v>
      </c>
      <c r="N244">
        <v>18</v>
      </c>
      <c r="O244">
        <v>39.661000000000001</v>
      </c>
      <c r="P244">
        <v>-105</v>
      </c>
      <c r="Q244" t="s">
        <v>576</v>
      </c>
    </row>
    <row r="245" spans="1:17" x14ac:dyDescent="0.3">
      <c r="A245" t="s">
        <v>260</v>
      </c>
      <c r="B245" t="s">
        <v>273</v>
      </c>
      <c r="C245" t="s">
        <v>286</v>
      </c>
      <c r="D245" t="s">
        <v>560</v>
      </c>
      <c r="E245">
        <v>2</v>
      </c>
      <c r="F245">
        <v>2</v>
      </c>
      <c r="G245">
        <v>1605</v>
      </c>
      <c r="H245">
        <v>1959</v>
      </c>
      <c r="I245" s="2">
        <v>43592</v>
      </c>
      <c r="J245" t="s">
        <v>566</v>
      </c>
      <c r="K245" t="s">
        <v>573</v>
      </c>
      <c r="L245">
        <v>909007</v>
      </c>
      <c r="M245">
        <v>566.36</v>
      </c>
      <c r="N245">
        <v>5</v>
      </c>
      <c r="O245">
        <v>45.557000000000002</v>
      </c>
      <c r="P245">
        <v>-122.61499999999999</v>
      </c>
      <c r="Q245" t="s">
        <v>579</v>
      </c>
    </row>
    <row r="246" spans="1:17" x14ac:dyDescent="0.3">
      <c r="A246" t="s">
        <v>261</v>
      </c>
      <c r="B246" t="s">
        <v>276</v>
      </c>
      <c r="C246" t="s">
        <v>317</v>
      </c>
      <c r="D246" t="s">
        <v>561</v>
      </c>
      <c r="E246">
        <v>2</v>
      </c>
      <c r="F246">
        <v>2</v>
      </c>
      <c r="G246">
        <v>1902</v>
      </c>
      <c r="H246">
        <v>1931</v>
      </c>
      <c r="I246" s="2">
        <v>44724</v>
      </c>
      <c r="J246" t="s">
        <v>570</v>
      </c>
      <c r="K246" t="s">
        <v>573</v>
      </c>
      <c r="L246">
        <v>748897</v>
      </c>
      <c r="M246">
        <v>393.74</v>
      </c>
      <c r="N246">
        <v>65</v>
      </c>
      <c r="O246">
        <v>41.84</v>
      </c>
      <c r="P246">
        <v>-87.555999999999997</v>
      </c>
      <c r="Q246" t="s">
        <v>575</v>
      </c>
    </row>
    <row r="247" spans="1:17" x14ac:dyDescent="0.3">
      <c r="A247" t="s">
        <v>262</v>
      </c>
      <c r="B247" t="s">
        <v>270</v>
      </c>
      <c r="C247" t="s">
        <v>281</v>
      </c>
      <c r="D247" t="s">
        <v>562</v>
      </c>
      <c r="E247">
        <v>5</v>
      </c>
      <c r="F247">
        <v>5</v>
      </c>
      <c r="G247">
        <v>2818</v>
      </c>
      <c r="H247">
        <v>1959</v>
      </c>
      <c r="I247" s="2">
        <v>43673</v>
      </c>
      <c r="J247" t="s">
        <v>566</v>
      </c>
      <c r="K247" t="s">
        <v>573</v>
      </c>
      <c r="L247">
        <v>1959278</v>
      </c>
      <c r="M247">
        <v>695.27</v>
      </c>
      <c r="N247">
        <v>64</v>
      </c>
      <c r="O247">
        <v>40.776000000000003</v>
      </c>
      <c r="P247">
        <v>-73.912999999999997</v>
      </c>
      <c r="Q247" t="s">
        <v>575</v>
      </c>
    </row>
    <row r="248" spans="1:17" x14ac:dyDescent="0.3">
      <c r="A248" t="s">
        <v>263</v>
      </c>
      <c r="B248" t="s">
        <v>269</v>
      </c>
      <c r="C248" t="s">
        <v>321</v>
      </c>
      <c r="D248" t="s">
        <v>497</v>
      </c>
      <c r="E248">
        <v>5</v>
      </c>
      <c r="F248">
        <v>5</v>
      </c>
      <c r="G248">
        <v>3116</v>
      </c>
      <c r="H248">
        <v>2017</v>
      </c>
      <c r="I248" s="2">
        <v>43190</v>
      </c>
      <c r="J248" t="s">
        <v>566</v>
      </c>
      <c r="K248" t="s">
        <v>573</v>
      </c>
      <c r="L248">
        <v>2138070</v>
      </c>
      <c r="M248">
        <v>686.16</v>
      </c>
      <c r="N248">
        <v>20</v>
      </c>
      <c r="O248">
        <v>39.768999999999998</v>
      </c>
      <c r="P248">
        <v>-104.928</v>
      </c>
    </row>
    <row r="249" spans="1:17" x14ac:dyDescent="0.3">
      <c r="A249" t="s">
        <v>264</v>
      </c>
      <c r="B249" t="s">
        <v>267</v>
      </c>
      <c r="C249" t="s">
        <v>278</v>
      </c>
      <c r="D249" t="s">
        <v>563</v>
      </c>
      <c r="E249">
        <v>4</v>
      </c>
      <c r="F249">
        <v>4</v>
      </c>
      <c r="G249">
        <v>2080</v>
      </c>
      <c r="H249">
        <v>2018</v>
      </c>
      <c r="I249" s="2">
        <v>44875</v>
      </c>
      <c r="J249" t="s">
        <v>569</v>
      </c>
      <c r="K249" t="s">
        <v>571</v>
      </c>
      <c r="L249">
        <v>1047210</v>
      </c>
      <c r="M249">
        <v>503.47</v>
      </c>
      <c r="N249">
        <v>35</v>
      </c>
      <c r="O249">
        <v>37.747</v>
      </c>
      <c r="P249">
        <v>-122.345</v>
      </c>
      <c r="Q249" t="s">
        <v>576</v>
      </c>
    </row>
    <row r="250" spans="1:17" x14ac:dyDescent="0.3">
      <c r="A250" t="s">
        <v>265</v>
      </c>
      <c r="B250" t="s">
        <v>271</v>
      </c>
      <c r="C250" t="s">
        <v>313</v>
      </c>
      <c r="D250" t="s">
        <v>564</v>
      </c>
      <c r="E250">
        <v>4</v>
      </c>
      <c r="F250">
        <v>3</v>
      </c>
      <c r="G250">
        <v>2529</v>
      </c>
      <c r="H250">
        <v>1904</v>
      </c>
      <c r="J250" t="s">
        <v>569</v>
      </c>
      <c r="K250" t="s">
        <v>571</v>
      </c>
      <c r="L250">
        <v>1389586</v>
      </c>
      <c r="M250">
        <v>549.46</v>
      </c>
      <c r="N250">
        <v>40</v>
      </c>
      <c r="O250">
        <v>42.37</v>
      </c>
      <c r="P250">
        <v>-71.147999999999996</v>
      </c>
      <c r="Q250" t="s">
        <v>576</v>
      </c>
    </row>
    <row r="251" spans="1:17" x14ac:dyDescent="0.3">
      <c r="A251" t="s">
        <v>266</v>
      </c>
      <c r="B251" t="s">
        <v>272</v>
      </c>
      <c r="C251" t="s">
        <v>298</v>
      </c>
      <c r="D251" t="s">
        <v>565</v>
      </c>
      <c r="E251">
        <v>5</v>
      </c>
      <c r="G251">
        <v>2511</v>
      </c>
      <c r="H251">
        <v>2002</v>
      </c>
      <c r="I251" s="2">
        <v>43180</v>
      </c>
      <c r="J251" t="s">
        <v>569</v>
      </c>
      <c r="K251" t="s">
        <v>572</v>
      </c>
      <c r="L251">
        <v>1637735</v>
      </c>
      <c r="M251">
        <v>652.22</v>
      </c>
      <c r="N251">
        <v>7</v>
      </c>
      <c r="O251">
        <v>25.731999999999999</v>
      </c>
      <c r="P251">
        <v>-80.180999999999997</v>
      </c>
      <c r="Q251" t="s">
        <v>578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FF87-C808-4189-A1D8-4AFCFF2DECF1}">
  <dimension ref="A3:B14"/>
  <sheetViews>
    <sheetView workbookViewId="0">
      <selection activeCell="A3" sqref="A3"/>
    </sheetView>
  </sheetViews>
  <sheetFormatPr defaultRowHeight="14.4" x14ac:dyDescent="0.3"/>
  <cols>
    <col min="1" max="1" width="12.5546875" bestFit="1" customWidth="1"/>
    <col min="2" max="2" width="19.77734375" bestFit="1" customWidth="1"/>
    <col min="3" max="3" width="15.6640625" bestFit="1" customWidth="1"/>
  </cols>
  <sheetData>
    <row r="3" spans="1:2" x14ac:dyDescent="0.3">
      <c r="A3" s="4" t="s">
        <v>597</v>
      </c>
      <c r="B3" t="s">
        <v>612</v>
      </c>
    </row>
    <row r="4" spans="1:2" x14ac:dyDescent="0.3">
      <c r="A4" s="5" t="s">
        <v>275</v>
      </c>
      <c r="B4">
        <v>11803.68</v>
      </c>
    </row>
    <row r="5" spans="1:2" x14ac:dyDescent="0.3">
      <c r="A5" s="5" t="s">
        <v>271</v>
      </c>
      <c r="B5">
        <v>15476.910000000003</v>
      </c>
    </row>
    <row r="6" spans="1:2" x14ac:dyDescent="0.3">
      <c r="A6" s="5" t="s">
        <v>276</v>
      </c>
      <c r="B6">
        <v>11924.31</v>
      </c>
    </row>
    <row r="7" spans="1:2" x14ac:dyDescent="0.3">
      <c r="A7" s="5" t="s">
        <v>269</v>
      </c>
      <c r="B7">
        <v>15501.41</v>
      </c>
    </row>
    <row r="8" spans="1:2" x14ac:dyDescent="0.3">
      <c r="A8" s="5" t="s">
        <v>274</v>
      </c>
      <c r="B8">
        <v>15545.919999999998</v>
      </c>
    </row>
    <row r="9" spans="1:2" x14ac:dyDescent="0.3">
      <c r="A9" s="5" t="s">
        <v>272</v>
      </c>
      <c r="B9">
        <v>10830.599999999999</v>
      </c>
    </row>
    <row r="10" spans="1:2" x14ac:dyDescent="0.3">
      <c r="A10" s="5" t="s">
        <v>270</v>
      </c>
      <c r="B10">
        <v>11733.540000000003</v>
      </c>
    </row>
    <row r="11" spans="1:2" x14ac:dyDescent="0.3">
      <c r="A11" s="5" t="s">
        <v>273</v>
      </c>
      <c r="B11">
        <v>17262.100000000002</v>
      </c>
    </row>
    <row r="12" spans="1:2" x14ac:dyDescent="0.3">
      <c r="A12" s="5" t="s">
        <v>267</v>
      </c>
      <c r="B12">
        <v>15134.449999999995</v>
      </c>
    </row>
    <row r="13" spans="1:2" x14ac:dyDescent="0.3">
      <c r="A13" s="5" t="s">
        <v>268</v>
      </c>
      <c r="B13">
        <v>8735.989999999998</v>
      </c>
    </row>
    <row r="14" spans="1:2" x14ac:dyDescent="0.3">
      <c r="A14" s="5" t="s">
        <v>598</v>
      </c>
      <c r="B14">
        <v>133948.91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219AB-9905-47F4-A4A5-EB501F1C9C78}">
  <dimension ref="A1:T251"/>
  <sheetViews>
    <sheetView topLeftCell="D1" workbookViewId="0">
      <selection activeCell="I1" sqref="I1:I1048576"/>
    </sheetView>
  </sheetViews>
  <sheetFormatPr defaultRowHeight="14.4" x14ac:dyDescent="0.3"/>
  <cols>
    <col min="1" max="1" width="10.33203125" bestFit="1" customWidth="1"/>
    <col min="2" max="2" width="12" bestFit="1" customWidth="1"/>
    <col min="3" max="3" width="15.5546875" bestFit="1" customWidth="1"/>
    <col min="4" max="4" width="11.6640625" bestFit="1" customWidth="1"/>
    <col min="5" max="5" width="11.44140625" bestFit="1" customWidth="1"/>
    <col min="6" max="6" width="11.77734375" bestFit="1" customWidth="1"/>
    <col min="7" max="7" width="12.44140625" bestFit="1" customWidth="1"/>
    <col min="8" max="8" width="11.6640625" bestFit="1" customWidth="1"/>
    <col min="9" max="9" width="11.88671875" bestFit="1" customWidth="1"/>
    <col min="10" max="10" width="11.33203125" bestFit="1" customWidth="1"/>
    <col min="11" max="11" width="15.44140625" bestFit="1" customWidth="1"/>
    <col min="12" max="12" width="15.44140625" customWidth="1"/>
    <col min="13" max="13" width="11.5546875" bestFit="1" customWidth="1"/>
    <col min="14" max="14" width="15.77734375" bestFit="1" customWidth="1"/>
    <col min="15" max="15" width="11.44140625" bestFit="1" customWidth="1"/>
    <col min="16" max="16" width="13.6640625" bestFit="1" customWidth="1"/>
    <col min="17" max="17" width="17.6640625" bestFit="1" customWidth="1"/>
    <col min="18" max="18" width="9.6640625" bestFit="1" customWidth="1"/>
    <col min="19" max="19" width="11.6640625" bestFit="1" customWidth="1"/>
    <col min="20" max="20" width="10.109375" bestFit="1" customWidth="1"/>
  </cols>
  <sheetData>
    <row r="1" spans="1:20" x14ac:dyDescent="0.3">
      <c r="A1" t="s">
        <v>0</v>
      </c>
      <c r="B1" t="s">
        <v>1</v>
      </c>
      <c r="C1" t="s">
        <v>2</v>
      </c>
      <c r="D1" t="s">
        <v>594</v>
      </c>
      <c r="E1" t="s">
        <v>595</v>
      </c>
      <c r="F1" t="s">
        <v>4</v>
      </c>
      <c r="G1" t="s">
        <v>5</v>
      </c>
      <c r="H1" t="s">
        <v>7</v>
      </c>
      <c r="I1" t="s">
        <v>11</v>
      </c>
      <c r="J1" t="s">
        <v>6</v>
      </c>
      <c r="K1" t="s">
        <v>12</v>
      </c>
      <c r="L1" t="s">
        <v>611</v>
      </c>
      <c r="M1" t="s">
        <v>8</v>
      </c>
      <c r="N1" t="s">
        <v>9</v>
      </c>
      <c r="O1" t="s">
        <v>10</v>
      </c>
      <c r="P1" t="s">
        <v>16</v>
      </c>
      <c r="Q1" t="s">
        <v>13</v>
      </c>
      <c r="R1" t="s">
        <v>596</v>
      </c>
      <c r="S1" t="s">
        <v>15</v>
      </c>
      <c r="T1" t="s">
        <v>14</v>
      </c>
    </row>
    <row r="2" spans="1:20" x14ac:dyDescent="0.3">
      <c r="A2" t="s">
        <v>17</v>
      </c>
      <c r="B2" t="s">
        <v>267</v>
      </c>
      <c r="C2" t="s">
        <v>278</v>
      </c>
      <c r="D2">
        <v>617</v>
      </c>
      <c r="E2" t="s">
        <v>580</v>
      </c>
      <c r="F2">
        <v>3</v>
      </c>
      <c r="G2">
        <v>3</v>
      </c>
      <c r="H2">
        <v>1917</v>
      </c>
      <c r="I2">
        <v>1018658.72</v>
      </c>
      <c r="J2">
        <v>2224</v>
      </c>
      <c r="K2">
        <v>458.03</v>
      </c>
      <c r="L2">
        <f t="shared" ref="L2:L65" si="0">YEAR(M:M)</f>
        <v>2024</v>
      </c>
      <c r="M2" s="3">
        <v>45334</v>
      </c>
      <c r="N2" t="s">
        <v>566</v>
      </c>
      <c r="O2" t="s">
        <v>571</v>
      </c>
      <c r="P2" t="s">
        <v>581</v>
      </c>
      <c r="Q2">
        <v>54</v>
      </c>
      <c r="R2">
        <v>1018658.72</v>
      </c>
      <c r="S2">
        <v>-122.411</v>
      </c>
      <c r="T2">
        <v>37.676000000000002</v>
      </c>
    </row>
    <row r="3" spans="1:20" x14ac:dyDescent="0.3">
      <c r="A3" t="s">
        <v>18</v>
      </c>
      <c r="B3" t="s">
        <v>268</v>
      </c>
      <c r="C3" t="s">
        <v>279</v>
      </c>
      <c r="D3">
        <v>814</v>
      </c>
      <c r="E3" t="s">
        <v>582</v>
      </c>
      <c r="F3">
        <v>2</v>
      </c>
      <c r="G3">
        <v>1</v>
      </c>
      <c r="H3">
        <v>1989</v>
      </c>
      <c r="I3">
        <v>868474.2</v>
      </c>
      <c r="J3">
        <v>2181</v>
      </c>
      <c r="K3">
        <v>398.2</v>
      </c>
      <c r="L3">
        <f t="shared" si="0"/>
        <v>2022</v>
      </c>
      <c r="M3" s="3">
        <v>44819</v>
      </c>
      <c r="N3" t="s">
        <v>567</v>
      </c>
      <c r="O3" t="s">
        <v>571</v>
      </c>
      <c r="P3" t="s">
        <v>581</v>
      </c>
      <c r="Q3">
        <v>27</v>
      </c>
      <c r="R3">
        <v>868474.2</v>
      </c>
      <c r="S3">
        <v>-122.256</v>
      </c>
      <c r="T3">
        <v>47.555999999999997</v>
      </c>
    </row>
    <row r="4" spans="1:20" x14ac:dyDescent="0.3">
      <c r="A4" t="s">
        <v>19</v>
      </c>
      <c r="B4" t="s">
        <v>269</v>
      </c>
      <c r="C4" t="s">
        <v>280</v>
      </c>
      <c r="D4">
        <v>926</v>
      </c>
      <c r="E4" t="s">
        <v>583</v>
      </c>
      <c r="F4">
        <v>2</v>
      </c>
      <c r="G4">
        <v>2</v>
      </c>
      <c r="H4">
        <v>1997</v>
      </c>
      <c r="I4">
        <v>1167608.3</v>
      </c>
      <c r="J4">
        <v>2195</v>
      </c>
      <c r="K4">
        <v>531.94000000000005</v>
      </c>
      <c r="L4">
        <f t="shared" si="0"/>
        <v>2019</v>
      </c>
      <c r="M4" s="3">
        <v>43519</v>
      </c>
      <c r="N4" t="s">
        <v>566</v>
      </c>
      <c r="O4" t="s">
        <v>571</v>
      </c>
      <c r="P4" t="s">
        <v>584</v>
      </c>
      <c r="Q4">
        <v>20</v>
      </c>
      <c r="R4" t="s">
        <v>585</v>
      </c>
      <c r="S4">
        <v>-105.021</v>
      </c>
      <c r="T4">
        <v>39.712000000000003</v>
      </c>
    </row>
    <row r="5" spans="1:20" x14ac:dyDescent="0.3">
      <c r="A5" t="s">
        <v>20</v>
      </c>
      <c r="B5" t="s">
        <v>270</v>
      </c>
      <c r="C5" t="s">
        <v>281</v>
      </c>
      <c r="D5">
        <v>296</v>
      </c>
      <c r="E5" t="s">
        <v>583</v>
      </c>
      <c r="F5">
        <v>1</v>
      </c>
      <c r="G5">
        <v>1</v>
      </c>
      <c r="H5">
        <v>1948</v>
      </c>
      <c r="I5">
        <v>755717.48</v>
      </c>
      <c r="J5">
        <v>1636</v>
      </c>
      <c r="K5">
        <v>461.93</v>
      </c>
      <c r="L5">
        <f t="shared" si="0"/>
        <v>2024</v>
      </c>
      <c r="M5" s="3">
        <v>45362</v>
      </c>
      <c r="N5" t="s">
        <v>568</v>
      </c>
      <c r="O5" t="s">
        <v>572</v>
      </c>
      <c r="P5" t="s">
        <v>577</v>
      </c>
      <c r="Q5">
        <v>21</v>
      </c>
      <c r="R5">
        <v>755717.48</v>
      </c>
      <c r="S5">
        <v>-73.938000000000002</v>
      </c>
      <c r="T5">
        <v>40.734000000000002</v>
      </c>
    </row>
    <row r="6" spans="1:20" x14ac:dyDescent="0.3">
      <c r="A6" t="s">
        <v>21</v>
      </c>
      <c r="B6" t="s">
        <v>268</v>
      </c>
      <c r="C6" t="s">
        <v>282</v>
      </c>
      <c r="D6">
        <v>463</v>
      </c>
      <c r="E6" t="s">
        <v>586</v>
      </c>
      <c r="F6">
        <v>3</v>
      </c>
      <c r="G6">
        <v>3</v>
      </c>
      <c r="H6">
        <v>2009</v>
      </c>
      <c r="I6">
        <v>800928</v>
      </c>
      <c r="J6">
        <v>2160</v>
      </c>
      <c r="K6">
        <v>370.8</v>
      </c>
      <c r="L6">
        <f t="shared" si="0"/>
        <v>2019</v>
      </c>
      <c r="M6" s="3">
        <v>43514</v>
      </c>
      <c r="N6" t="s">
        <v>569</v>
      </c>
      <c r="O6" t="s">
        <v>571</v>
      </c>
      <c r="P6" t="s">
        <v>584</v>
      </c>
      <c r="Q6">
        <v>16</v>
      </c>
      <c r="R6">
        <v>800928</v>
      </c>
      <c r="S6">
        <v>-122.357</v>
      </c>
      <c r="T6">
        <v>47.627000000000002</v>
      </c>
    </row>
    <row r="7" spans="1:20" x14ac:dyDescent="0.3">
      <c r="A7" t="s">
        <v>22</v>
      </c>
      <c r="B7" t="s">
        <v>271</v>
      </c>
      <c r="C7" t="s">
        <v>283</v>
      </c>
      <c r="D7">
        <v>324</v>
      </c>
      <c r="E7" t="s">
        <v>587</v>
      </c>
      <c r="F7">
        <v>5</v>
      </c>
      <c r="G7">
        <v>4</v>
      </c>
      <c r="H7">
        <v>1968</v>
      </c>
      <c r="I7">
        <v>1503284.55</v>
      </c>
      <c r="J7">
        <v>2559</v>
      </c>
      <c r="K7">
        <v>587.45000000000005</v>
      </c>
      <c r="L7">
        <f t="shared" si="0"/>
        <v>2019</v>
      </c>
      <c r="M7" s="3">
        <v>43770</v>
      </c>
      <c r="N7" t="s">
        <v>569</v>
      </c>
      <c r="O7" t="s">
        <v>571</v>
      </c>
      <c r="P7" t="s">
        <v>577</v>
      </c>
      <c r="Q7">
        <v>44</v>
      </c>
      <c r="R7" t="s">
        <v>585</v>
      </c>
      <c r="S7">
        <v>-71.031999999999996</v>
      </c>
      <c r="T7">
        <v>42.457999999999998</v>
      </c>
    </row>
    <row r="8" spans="1:20" x14ac:dyDescent="0.3">
      <c r="A8" t="s">
        <v>23</v>
      </c>
      <c r="B8" t="s">
        <v>268</v>
      </c>
      <c r="C8" t="s">
        <v>282</v>
      </c>
      <c r="D8">
        <v>771</v>
      </c>
      <c r="E8" t="s">
        <v>582</v>
      </c>
      <c r="F8">
        <v>1</v>
      </c>
      <c r="G8">
        <v>1</v>
      </c>
      <c r="H8">
        <v>1951</v>
      </c>
      <c r="I8">
        <v>371805.11</v>
      </c>
      <c r="J8">
        <v>1273</v>
      </c>
      <c r="K8">
        <v>292.07</v>
      </c>
      <c r="L8">
        <f t="shared" si="0"/>
        <v>2018</v>
      </c>
      <c r="M8" s="3">
        <v>43372</v>
      </c>
      <c r="N8" t="s">
        <v>567</v>
      </c>
      <c r="O8" t="s">
        <v>572</v>
      </c>
      <c r="P8" t="s">
        <v>581</v>
      </c>
      <c r="Q8">
        <v>78</v>
      </c>
      <c r="R8">
        <v>371805.11</v>
      </c>
      <c r="S8">
        <v>-122.286</v>
      </c>
      <c r="T8">
        <v>47.613</v>
      </c>
    </row>
    <row r="9" spans="1:20" x14ac:dyDescent="0.3">
      <c r="A9" t="s">
        <v>24</v>
      </c>
      <c r="B9" t="s">
        <v>272</v>
      </c>
      <c r="C9" t="s">
        <v>284</v>
      </c>
      <c r="D9">
        <v>324</v>
      </c>
      <c r="E9" t="s">
        <v>586</v>
      </c>
      <c r="F9">
        <v>2</v>
      </c>
      <c r="G9">
        <v>2</v>
      </c>
      <c r="H9">
        <v>1931</v>
      </c>
      <c r="I9">
        <v>928906.72</v>
      </c>
      <c r="J9">
        <v>1744</v>
      </c>
      <c r="K9">
        <v>532.63</v>
      </c>
      <c r="L9">
        <f t="shared" si="0"/>
        <v>2024</v>
      </c>
      <c r="M9" s="3">
        <v>45308</v>
      </c>
      <c r="N9" t="s">
        <v>568</v>
      </c>
      <c r="O9" t="s">
        <v>572</v>
      </c>
      <c r="P9" t="s">
        <v>584</v>
      </c>
      <c r="Q9">
        <v>7</v>
      </c>
      <c r="R9">
        <v>928906.72</v>
      </c>
      <c r="S9">
        <v>-80.173000000000002</v>
      </c>
      <c r="T9">
        <v>25.745999999999999</v>
      </c>
    </row>
    <row r="10" spans="1:20" x14ac:dyDescent="0.3">
      <c r="A10" t="s">
        <v>25</v>
      </c>
      <c r="B10" t="s">
        <v>273</v>
      </c>
      <c r="C10" t="s">
        <v>285</v>
      </c>
      <c r="D10">
        <v>710</v>
      </c>
      <c r="E10" t="s">
        <v>582</v>
      </c>
      <c r="F10">
        <v>1</v>
      </c>
      <c r="G10">
        <v>1</v>
      </c>
      <c r="H10">
        <v>2010</v>
      </c>
      <c r="I10">
        <v>688274.4</v>
      </c>
      <c r="J10">
        <v>1364</v>
      </c>
      <c r="K10">
        <v>504.6</v>
      </c>
      <c r="L10">
        <f t="shared" si="0"/>
        <v>2019</v>
      </c>
      <c r="M10" s="3">
        <v>43727</v>
      </c>
      <c r="N10" t="s">
        <v>567</v>
      </c>
      <c r="O10" t="s">
        <v>572</v>
      </c>
      <c r="P10" t="s">
        <v>588</v>
      </c>
      <c r="Q10">
        <v>0</v>
      </c>
      <c r="R10">
        <v>688274.4</v>
      </c>
      <c r="S10">
        <v>-122.767</v>
      </c>
      <c r="T10">
        <v>45.503999999999998</v>
      </c>
    </row>
    <row r="11" spans="1:20" x14ac:dyDescent="0.3">
      <c r="A11" t="s">
        <v>26</v>
      </c>
      <c r="B11" t="s">
        <v>273</v>
      </c>
      <c r="C11" t="s">
        <v>286</v>
      </c>
      <c r="D11">
        <v>564</v>
      </c>
      <c r="E11" t="s">
        <v>583</v>
      </c>
      <c r="F11">
        <v>5</v>
      </c>
      <c r="G11">
        <v>4</v>
      </c>
      <c r="H11">
        <v>1901</v>
      </c>
      <c r="I11">
        <v>1904194.8199999998</v>
      </c>
      <c r="J11">
        <v>2794</v>
      </c>
      <c r="K11">
        <v>681.53</v>
      </c>
      <c r="L11">
        <f t="shared" si="0"/>
        <v>2024</v>
      </c>
      <c r="M11" s="3">
        <v>45300</v>
      </c>
      <c r="N11" t="s">
        <v>568</v>
      </c>
      <c r="O11" t="s">
        <v>572</v>
      </c>
      <c r="P11" t="s">
        <v>581</v>
      </c>
      <c r="Q11">
        <v>26</v>
      </c>
      <c r="R11" t="s">
        <v>585</v>
      </c>
      <c r="S11">
        <v>-122.721</v>
      </c>
      <c r="T11">
        <v>45.488</v>
      </c>
    </row>
    <row r="12" spans="1:20" x14ac:dyDescent="0.3">
      <c r="A12" t="s">
        <v>27</v>
      </c>
      <c r="B12" t="s">
        <v>271</v>
      </c>
      <c r="C12" t="s">
        <v>287</v>
      </c>
      <c r="D12">
        <v>100</v>
      </c>
      <c r="E12" t="s">
        <v>580</v>
      </c>
      <c r="F12">
        <v>2</v>
      </c>
      <c r="G12">
        <v>2</v>
      </c>
      <c r="H12">
        <v>1913</v>
      </c>
      <c r="I12">
        <v>913654.5</v>
      </c>
      <c r="J12">
        <v>1650</v>
      </c>
      <c r="K12">
        <v>553.73</v>
      </c>
      <c r="L12">
        <f t="shared" si="0"/>
        <v>2023</v>
      </c>
      <c r="M12" s="3">
        <v>45180</v>
      </c>
      <c r="N12" t="s">
        <v>570</v>
      </c>
      <c r="O12" t="s">
        <v>573</v>
      </c>
      <c r="P12" t="s">
        <v>577</v>
      </c>
      <c r="Q12">
        <v>34</v>
      </c>
      <c r="R12">
        <v>913654.5</v>
      </c>
      <c r="S12">
        <v>-71.128</v>
      </c>
      <c r="T12">
        <v>42.335000000000001</v>
      </c>
    </row>
    <row r="13" spans="1:20" x14ac:dyDescent="0.3">
      <c r="A13" t="s">
        <v>28</v>
      </c>
      <c r="B13" t="s">
        <v>269</v>
      </c>
      <c r="C13" t="s">
        <v>288</v>
      </c>
      <c r="D13">
        <v>597</v>
      </c>
      <c r="E13" t="s">
        <v>583</v>
      </c>
      <c r="F13">
        <v>1</v>
      </c>
      <c r="G13">
        <v>1</v>
      </c>
      <c r="H13">
        <v>1946</v>
      </c>
      <c r="I13">
        <v>597136.31999999995</v>
      </c>
      <c r="J13">
        <v>1236</v>
      </c>
      <c r="K13">
        <v>483.12</v>
      </c>
      <c r="L13">
        <f t="shared" si="0"/>
        <v>2020</v>
      </c>
      <c r="M13" s="3">
        <v>44081</v>
      </c>
      <c r="N13" t="s">
        <v>566</v>
      </c>
      <c r="O13" t="s">
        <v>573</v>
      </c>
      <c r="P13" t="s">
        <v>589</v>
      </c>
      <c r="Q13">
        <v>1</v>
      </c>
      <c r="R13">
        <v>597136.31999999995</v>
      </c>
      <c r="S13">
        <v>-105.074</v>
      </c>
      <c r="T13">
        <v>39.753</v>
      </c>
    </row>
    <row r="14" spans="1:20" x14ac:dyDescent="0.3">
      <c r="A14" t="s">
        <v>29</v>
      </c>
      <c r="B14" t="s">
        <v>273</v>
      </c>
      <c r="C14" t="s">
        <v>289</v>
      </c>
      <c r="D14">
        <v>873</v>
      </c>
      <c r="E14" t="s">
        <v>586</v>
      </c>
      <c r="F14">
        <v>2</v>
      </c>
      <c r="G14">
        <v>1</v>
      </c>
      <c r="H14">
        <v>1970</v>
      </c>
      <c r="I14">
        <v>883478.08000000007</v>
      </c>
      <c r="J14">
        <v>1852</v>
      </c>
      <c r="K14">
        <v>477.04</v>
      </c>
      <c r="L14">
        <f t="shared" si="0"/>
        <v>2020</v>
      </c>
      <c r="M14" s="3">
        <v>44186</v>
      </c>
      <c r="N14" t="s">
        <v>570</v>
      </c>
      <c r="O14" t="s">
        <v>572</v>
      </c>
      <c r="P14" t="s">
        <v>577</v>
      </c>
      <c r="Q14">
        <v>4</v>
      </c>
      <c r="R14">
        <v>883478.08000000007</v>
      </c>
      <c r="S14">
        <v>-122.738</v>
      </c>
      <c r="T14">
        <v>45.505000000000003</v>
      </c>
    </row>
    <row r="15" spans="1:20" x14ac:dyDescent="0.3">
      <c r="A15" t="s">
        <v>30</v>
      </c>
      <c r="B15" t="s">
        <v>271</v>
      </c>
      <c r="C15" t="s">
        <v>290</v>
      </c>
      <c r="D15">
        <v>702</v>
      </c>
      <c r="E15" t="s">
        <v>586</v>
      </c>
      <c r="F15">
        <v>3</v>
      </c>
      <c r="G15">
        <v>3</v>
      </c>
      <c r="H15">
        <v>1966</v>
      </c>
      <c r="I15">
        <v>1213024.54</v>
      </c>
      <c r="J15">
        <v>2149</v>
      </c>
      <c r="K15">
        <v>564.46</v>
      </c>
      <c r="L15">
        <f t="shared" si="0"/>
        <v>2019</v>
      </c>
      <c r="M15" s="3">
        <v>43596</v>
      </c>
      <c r="N15" t="s">
        <v>567</v>
      </c>
      <c r="O15" t="s">
        <v>573</v>
      </c>
      <c r="P15" t="s">
        <v>581</v>
      </c>
      <c r="Q15">
        <v>40</v>
      </c>
      <c r="R15" t="s">
        <v>585</v>
      </c>
      <c r="S15">
        <v>-71.042000000000002</v>
      </c>
      <c r="T15">
        <v>42.328000000000003</v>
      </c>
    </row>
    <row r="16" spans="1:20" x14ac:dyDescent="0.3">
      <c r="A16" t="s">
        <v>31</v>
      </c>
      <c r="B16" t="s">
        <v>268</v>
      </c>
      <c r="C16" t="s">
        <v>291</v>
      </c>
      <c r="D16">
        <v>235</v>
      </c>
      <c r="E16" t="s">
        <v>580</v>
      </c>
      <c r="F16">
        <v>1</v>
      </c>
      <c r="G16">
        <v>1</v>
      </c>
      <c r="H16">
        <v>2015</v>
      </c>
      <c r="I16">
        <v>479251.8</v>
      </c>
      <c r="J16">
        <v>1471</v>
      </c>
      <c r="K16">
        <v>325.8</v>
      </c>
      <c r="L16">
        <f t="shared" si="0"/>
        <v>2021</v>
      </c>
      <c r="M16" s="3">
        <v>44454</v>
      </c>
      <c r="N16" t="s">
        <v>566</v>
      </c>
      <c r="O16" t="s">
        <v>571</v>
      </c>
      <c r="P16" t="s">
        <v>577</v>
      </c>
      <c r="Q16">
        <v>9</v>
      </c>
      <c r="R16">
        <v>479251.8</v>
      </c>
      <c r="S16">
        <v>-122.333</v>
      </c>
      <c r="T16">
        <v>47.555999999999997</v>
      </c>
    </row>
    <row r="17" spans="1:20" x14ac:dyDescent="0.3">
      <c r="A17" t="s">
        <v>32</v>
      </c>
      <c r="B17" t="s">
        <v>274</v>
      </c>
      <c r="C17" t="s">
        <v>292</v>
      </c>
      <c r="D17">
        <v>984</v>
      </c>
      <c r="E17" t="s">
        <v>583</v>
      </c>
      <c r="F17">
        <v>2</v>
      </c>
      <c r="G17">
        <v>1</v>
      </c>
      <c r="H17">
        <v>2003</v>
      </c>
      <c r="I17">
        <v>917114.4</v>
      </c>
      <c r="J17">
        <v>1620</v>
      </c>
      <c r="K17">
        <v>566.12</v>
      </c>
      <c r="L17">
        <f t="shared" si="0"/>
        <v>2020</v>
      </c>
      <c r="M17" s="3">
        <v>43880</v>
      </c>
      <c r="N17" t="s">
        <v>566</v>
      </c>
      <c r="O17" t="s">
        <v>573</v>
      </c>
      <c r="P17" t="s">
        <v>588</v>
      </c>
      <c r="Q17">
        <v>66</v>
      </c>
      <c r="R17">
        <v>917114.4</v>
      </c>
      <c r="S17">
        <v>-118.255</v>
      </c>
      <c r="T17">
        <v>34.036000000000001</v>
      </c>
    </row>
    <row r="18" spans="1:20" x14ac:dyDescent="0.3">
      <c r="A18" t="s">
        <v>33</v>
      </c>
      <c r="B18" t="s">
        <v>267</v>
      </c>
      <c r="C18" t="s">
        <v>278</v>
      </c>
      <c r="D18">
        <v>573</v>
      </c>
      <c r="E18" t="s">
        <v>586</v>
      </c>
      <c r="F18">
        <v>4</v>
      </c>
      <c r="G18">
        <v>3</v>
      </c>
      <c r="H18">
        <v>2002</v>
      </c>
      <c r="I18">
        <v>1103386.24</v>
      </c>
      <c r="J18">
        <v>2486</v>
      </c>
      <c r="K18">
        <v>443.84</v>
      </c>
      <c r="L18">
        <f t="shared" si="0"/>
        <v>2020</v>
      </c>
      <c r="M18" s="3">
        <v>44119</v>
      </c>
      <c r="N18" t="s">
        <v>567</v>
      </c>
      <c r="O18" t="s">
        <v>573</v>
      </c>
      <c r="P18" t="s">
        <v>584</v>
      </c>
      <c r="Q18">
        <v>44</v>
      </c>
      <c r="R18">
        <v>1103386.24</v>
      </c>
      <c r="S18">
        <v>-122.346</v>
      </c>
      <c r="T18">
        <v>37.76</v>
      </c>
    </row>
    <row r="19" spans="1:20" x14ac:dyDescent="0.3">
      <c r="A19" t="s">
        <v>34</v>
      </c>
      <c r="B19" t="s">
        <v>267</v>
      </c>
      <c r="C19" t="s">
        <v>590</v>
      </c>
      <c r="D19">
        <v>592</v>
      </c>
      <c r="E19" t="s">
        <v>586</v>
      </c>
      <c r="F19">
        <v>5</v>
      </c>
      <c r="G19">
        <v>5</v>
      </c>
      <c r="H19">
        <v>1983</v>
      </c>
      <c r="I19">
        <v>1429387.68</v>
      </c>
      <c r="J19">
        <v>2604</v>
      </c>
      <c r="K19">
        <v>548.91999999999996</v>
      </c>
      <c r="L19">
        <f t="shared" si="0"/>
        <v>2018</v>
      </c>
      <c r="M19" s="3">
        <v>43161</v>
      </c>
      <c r="N19" t="s">
        <v>566</v>
      </c>
      <c r="O19" t="s">
        <v>572</v>
      </c>
      <c r="P19" t="s">
        <v>588</v>
      </c>
      <c r="Q19">
        <v>53</v>
      </c>
      <c r="R19" t="s">
        <v>585</v>
      </c>
      <c r="S19">
        <v>-122.39700000000001</v>
      </c>
      <c r="T19">
        <v>37.840000000000003</v>
      </c>
    </row>
    <row r="20" spans="1:20" x14ac:dyDescent="0.3">
      <c r="A20" t="s">
        <v>35</v>
      </c>
      <c r="B20" t="s">
        <v>272</v>
      </c>
      <c r="C20" t="s">
        <v>294</v>
      </c>
      <c r="D20">
        <v>777</v>
      </c>
      <c r="E20" t="s">
        <v>582</v>
      </c>
      <c r="F20">
        <v>2</v>
      </c>
      <c r="G20">
        <v>2</v>
      </c>
      <c r="H20">
        <v>1949</v>
      </c>
      <c r="I20">
        <v>1143692.3400000001</v>
      </c>
      <c r="J20">
        <v>2058</v>
      </c>
      <c r="K20">
        <v>555.73</v>
      </c>
      <c r="L20">
        <f t="shared" si="0"/>
        <v>2023</v>
      </c>
      <c r="M20" s="3">
        <v>44964</v>
      </c>
      <c r="N20" t="s">
        <v>568</v>
      </c>
      <c r="O20" t="s">
        <v>571</v>
      </c>
      <c r="P20" t="s">
        <v>577</v>
      </c>
      <c r="Q20">
        <v>9</v>
      </c>
      <c r="R20">
        <v>1143692.3400000001</v>
      </c>
      <c r="S20">
        <v>-80.090999999999994</v>
      </c>
      <c r="T20">
        <v>25.850999999999999</v>
      </c>
    </row>
    <row r="21" spans="1:20" x14ac:dyDescent="0.3">
      <c r="A21" t="s">
        <v>36</v>
      </c>
      <c r="B21" t="s">
        <v>275</v>
      </c>
      <c r="C21" t="s">
        <v>295</v>
      </c>
      <c r="D21">
        <v>973</v>
      </c>
      <c r="E21" t="s">
        <v>580</v>
      </c>
      <c r="F21">
        <v>3</v>
      </c>
      <c r="G21">
        <v>3</v>
      </c>
      <c r="H21">
        <v>1907</v>
      </c>
      <c r="I21">
        <v>1035533.24</v>
      </c>
      <c r="J21">
        <v>2023</v>
      </c>
      <c r="K21">
        <v>511.88</v>
      </c>
      <c r="L21">
        <f t="shared" si="0"/>
        <v>2024</v>
      </c>
      <c r="M21" s="3">
        <v>45321</v>
      </c>
      <c r="N21" t="s">
        <v>566</v>
      </c>
      <c r="O21" t="s">
        <v>572</v>
      </c>
      <c r="P21" t="s">
        <v>577</v>
      </c>
      <c r="Q21">
        <v>64</v>
      </c>
      <c r="R21">
        <v>1035533.24</v>
      </c>
      <c r="S21">
        <v>-97.722999999999999</v>
      </c>
      <c r="T21">
        <v>30.181000000000001</v>
      </c>
    </row>
    <row r="22" spans="1:20" x14ac:dyDescent="0.3">
      <c r="A22" t="s">
        <v>37</v>
      </c>
      <c r="B22" t="s">
        <v>275</v>
      </c>
      <c r="C22" t="s">
        <v>296</v>
      </c>
      <c r="D22">
        <v>352</v>
      </c>
      <c r="E22" t="s">
        <v>580</v>
      </c>
      <c r="F22">
        <v>5</v>
      </c>
      <c r="G22">
        <v>5</v>
      </c>
      <c r="H22">
        <v>1923</v>
      </c>
      <c r="I22">
        <v>1488634.2</v>
      </c>
      <c r="J22">
        <v>2580</v>
      </c>
      <c r="K22">
        <v>576.99</v>
      </c>
      <c r="L22">
        <f t="shared" si="0"/>
        <v>2024</v>
      </c>
      <c r="M22" s="3">
        <v>45538</v>
      </c>
      <c r="N22" t="s">
        <v>566</v>
      </c>
      <c r="O22" t="s">
        <v>571</v>
      </c>
      <c r="P22" t="s">
        <v>577</v>
      </c>
      <c r="Q22">
        <v>1</v>
      </c>
      <c r="R22" t="s">
        <v>585</v>
      </c>
      <c r="S22">
        <v>-97.816000000000003</v>
      </c>
      <c r="T22">
        <v>30.216999999999999</v>
      </c>
    </row>
    <row r="23" spans="1:20" x14ac:dyDescent="0.3">
      <c r="A23" t="s">
        <v>38</v>
      </c>
      <c r="B23" t="s">
        <v>274</v>
      </c>
      <c r="C23" t="s">
        <v>297</v>
      </c>
      <c r="D23">
        <v>344</v>
      </c>
      <c r="E23" t="s">
        <v>587</v>
      </c>
      <c r="F23">
        <v>5</v>
      </c>
      <c r="G23">
        <v>5</v>
      </c>
      <c r="H23">
        <v>1984</v>
      </c>
      <c r="I23">
        <v>1850210.6</v>
      </c>
      <c r="J23">
        <v>2401</v>
      </c>
      <c r="K23">
        <v>770.6</v>
      </c>
      <c r="L23">
        <f t="shared" si="0"/>
        <v>2024</v>
      </c>
      <c r="M23" s="3">
        <v>45416</v>
      </c>
      <c r="N23" t="s">
        <v>570</v>
      </c>
      <c r="O23" t="s">
        <v>571</v>
      </c>
      <c r="P23" t="s">
        <v>584</v>
      </c>
      <c r="Q23">
        <v>75</v>
      </c>
      <c r="R23" t="s">
        <v>585</v>
      </c>
      <c r="S23">
        <v>-118.206</v>
      </c>
      <c r="T23">
        <v>34.002000000000002</v>
      </c>
    </row>
    <row r="24" spans="1:20" x14ac:dyDescent="0.3">
      <c r="A24" t="s">
        <v>39</v>
      </c>
      <c r="B24" t="s">
        <v>272</v>
      </c>
      <c r="C24" t="s">
        <v>298</v>
      </c>
      <c r="D24">
        <v>318</v>
      </c>
      <c r="E24" t="s">
        <v>580</v>
      </c>
      <c r="F24">
        <v>3</v>
      </c>
      <c r="G24">
        <v>3</v>
      </c>
      <c r="H24">
        <v>2018</v>
      </c>
      <c r="I24">
        <v>1254779.76</v>
      </c>
      <c r="J24">
        <v>2082</v>
      </c>
      <c r="K24">
        <v>602.67999999999995</v>
      </c>
      <c r="L24">
        <f t="shared" si="0"/>
        <v>2018</v>
      </c>
      <c r="M24" s="3">
        <v>43139</v>
      </c>
      <c r="N24" t="s">
        <v>569</v>
      </c>
      <c r="O24" t="s">
        <v>571</v>
      </c>
      <c r="P24" t="s">
        <v>577</v>
      </c>
      <c r="Q24">
        <v>45</v>
      </c>
      <c r="R24" t="s">
        <v>585</v>
      </c>
      <c r="S24">
        <v>-80.27</v>
      </c>
      <c r="T24">
        <v>25.773</v>
      </c>
    </row>
    <row r="25" spans="1:20" x14ac:dyDescent="0.3">
      <c r="A25" t="s">
        <v>40</v>
      </c>
      <c r="B25" t="s">
        <v>271</v>
      </c>
      <c r="C25" t="s">
        <v>299</v>
      </c>
      <c r="D25">
        <v>926</v>
      </c>
      <c r="E25" t="s">
        <v>580</v>
      </c>
      <c r="F25">
        <v>3</v>
      </c>
      <c r="G25">
        <v>2</v>
      </c>
      <c r="H25">
        <v>2012</v>
      </c>
      <c r="I25">
        <v>1050821.6600000001</v>
      </c>
      <c r="J25">
        <v>1939</v>
      </c>
      <c r="K25">
        <v>541.94000000000005</v>
      </c>
      <c r="L25">
        <f t="shared" si="0"/>
        <v>2022</v>
      </c>
      <c r="M25" s="3">
        <v>44614</v>
      </c>
      <c r="N25" t="s">
        <v>568</v>
      </c>
      <c r="O25" t="s">
        <v>573</v>
      </c>
      <c r="P25" t="s">
        <v>577</v>
      </c>
      <c r="Q25">
        <v>81</v>
      </c>
      <c r="R25">
        <v>1050821.6600000001</v>
      </c>
      <c r="S25">
        <v>-71.019000000000005</v>
      </c>
      <c r="T25">
        <v>42.427</v>
      </c>
    </row>
    <row r="26" spans="1:20" x14ac:dyDescent="0.3">
      <c r="A26" t="s">
        <v>41</v>
      </c>
      <c r="B26" t="s">
        <v>268</v>
      </c>
      <c r="C26" t="s">
        <v>279</v>
      </c>
      <c r="D26">
        <v>719</v>
      </c>
      <c r="E26" t="s">
        <v>586</v>
      </c>
      <c r="F26">
        <v>3</v>
      </c>
      <c r="G26">
        <v>2</v>
      </c>
      <c r="H26">
        <v>1913</v>
      </c>
      <c r="I26">
        <v>1061475.24</v>
      </c>
      <c r="J26">
        <v>2091</v>
      </c>
      <c r="K26">
        <v>507.64</v>
      </c>
      <c r="L26">
        <f t="shared" si="0"/>
        <v>2020</v>
      </c>
      <c r="M26" s="3">
        <v>44184</v>
      </c>
      <c r="N26" t="s">
        <v>566</v>
      </c>
      <c r="O26" t="s">
        <v>572</v>
      </c>
      <c r="P26" t="s">
        <v>584</v>
      </c>
      <c r="Q26">
        <v>43</v>
      </c>
      <c r="R26">
        <v>1061475.24</v>
      </c>
      <c r="S26">
        <v>-122.399</v>
      </c>
      <c r="T26">
        <v>47.648000000000003</v>
      </c>
    </row>
    <row r="27" spans="1:20" x14ac:dyDescent="0.3">
      <c r="A27" t="s">
        <v>42</v>
      </c>
      <c r="B27" t="s">
        <v>269</v>
      </c>
      <c r="C27" t="s">
        <v>291</v>
      </c>
      <c r="D27">
        <v>752</v>
      </c>
      <c r="E27" t="s">
        <v>587</v>
      </c>
      <c r="F27">
        <v>3</v>
      </c>
      <c r="G27">
        <v>3</v>
      </c>
      <c r="H27">
        <v>1932</v>
      </c>
      <c r="I27">
        <v>1257999.8499999999</v>
      </c>
      <c r="J27">
        <v>2305</v>
      </c>
      <c r="K27">
        <v>545.77</v>
      </c>
      <c r="L27">
        <f t="shared" si="0"/>
        <v>2019</v>
      </c>
      <c r="M27" s="3">
        <v>43479</v>
      </c>
      <c r="N27" t="s">
        <v>569</v>
      </c>
      <c r="O27" t="s">
        <v>572</v>
      </c>
      <c r="P27" t="s">
        <v>581</v>
      </c>
      <c r="Q27">
        <v>26</v>
      </c>
      <c r="R27" t="s">
        <v>585</v>
      </c>
      <c r="S27">
        <v>-105.023</v>
      </c>
      <c r="T27">
        <v>39.649000000000001</v>
      </c>
    </row>
    <row r="28" spans="1:20" x14ac:dyDescent="0.3">
      <c r="A28" t="s">
        <v>43</v>
      </c>
      <c r="B28" t="s">
        <v>275</v>
      </c>
      <c r="C28" t="s">
        <v>302</v>
      </c>
      <c r="D28">
        <v>954</v>
      </c>
      <c r="E28" t="s">
        <v>587</v>
      </c>
      <c r="F28">
        <v>5</v>
      </c>
      <c r="G28">
        <v>4</v>
      </c>
      <c r="H28">
        <v>1971</v>
      </c>
      <c r="I28">
        <v>1369369.47</v>
      </c>
      <c r="J28">
        <v>2723</v>
      </c>
      <c r="K28">
        <v>502.89</v>
      </c>
      <c r="L28">
        <f t="shared" si="0"/>
        <v>2019</v>
      </c>
      <c r="M28" s="3">
        <v>43559</v>
      </c>
      <c r="N28" t="s">
        <v>566</v>
      </c>
      <c r="O28" t="s">
        <v>572</v>
      </c>
      <c r="P28" t="s">
        <v>591</v>
      </c>
      <c r="Q28">
        <v>28</v>
      </c>
      <c r="R28" t="s">
        <v>585</v>
      </c>
      <c r="S28">
        <v>-97.81</v>
      </c>
      <c r="T28">
        <v>30.308</v>
      </c>
    </row>
    <row r="29" spans="1:20" x14ac:dyDescent="0.3">
      <c r="A29" t="s">
        <v>44</v>
      </c>
      <c r="B29" t="s">
        <v>274</v>
      </c>
      <c r="C29" t="s">
        <v>296</v>
      </c>
      <c r="D29">
        <v>462</v>
      </c>
      <c r="E29" t="s">
        <v>580</v>
      </c>
      <c r="F29">
        <v>2</v>
      </c>
      <c r="G29">
        <v>2</v>
      </c>
      <c r="H29">
        <v>1905</v>
      </c>
      <c r="I29">
        <v>1207278.79</v>
      </c>
      <c r="J29">
        <v>1889</v>
      </c>
      <c r="K29">
        <v>639.11</v>
      </c>
      <c r="L29">
        <f t="shared" si="0"/>
        <v>2022</v>
      </c>
      <c r="M29" s="3">
        <v>44594</v>
      </c>
      <c r="N29" t="s">
        <v>566</v>
      </c>
      <c r="O29" t="s">
        <v>572</v>
      </c>
      <c r="P29" t="s">
        <v>591</v>
      </c>
      <c r="Q29">
        <v>19</v>
      </c>
      <c r="R29" t="s">
        <v>585</v>
      </c>
      <c r="S29">
        <v>-118.29</v>
      </c>
      <c r="T29">
        <v>33.991999999999997</v>
      </c>
    </row>
    <row r="30" spans="1:20" x14ac:dyDescent="0.3">
      <c r="A30" t="s">
        <v>45</v>
      </c>
      <c r="B30" t="s">
        <v>272</v>
      </c>
      <c r="C30" t="s">
        <v>300</v>
      </c>
      <c r="D30">
        <v>921</v>
      </c>
      <c r="E30" t="s">
        <v>586</v>
      </c>
      <c r="F30">
        <v>2</v>
      </c>
      <c r="G30">
        <v>1</v>
      </c>
      <c r="H30">
        <v>1930</v>
      </c>
      <c r="I30">
        <v>789651.7</v>
      </c>
      <c r="J30">
        <v>1598</v>
      </c>
      <c r="K30">
        <v>494.15</v>
      </c>
      <c r="L30">
        <f t="shared" si="0"/>
        <v>2019</v>
      </c>
      <c r="M30" s="3">
        <v>43826</v>
      </c>
      <c r="N30" t="s">
        <v>569</v>
      </c>
      <c r="O30" t="s">
        <v>573</v>
      </c>
      <c r="P30" t="s">
        <v>588</v>
      </c>
      <c r="Q30">
        <v>62</v>
      </c>
      <c r="R30">
        <v>789651.7</v>
      </c>
      <c r="S30">
        <v>-80.224000000000004</v>
      </c>
      <c r="T30">
        <v>25.806999999999999</v>
      </c>
    </row>
    <row r="31" spans="1:20" x14ac:dyDescent="0.3">
      <c r="A31" t="s">
        <v>46</v>
      </c>
      <c r="B31" t="s">
        <v>271</v>
      </c>
      <c r="C31" t="s">
        <v>299</v>
      </c>
      <c r="D31">
        <v>328</v>
      </c>
      <c r="E31" t="s">
        <v>583</v>
      </c>
      <c r="F31">
        <v>1</v>
      </c>
      <c r="G31">
        <v>1</v>
      </c>
      <c r="H31">
        <v>1904</v>
      </c>
      <c r="I31">
        <v>657890.52</v>
      </c>
      <c r="J31">
        <v>1582</v>
      </c>
      <c r="K31">
        <v>415.86</v>
      </c>
      <c r="L31">
        <f t="shared" si="0"/>
        <v>2020</v>
      </c>
      <c r="M31" s="3">
        <v>44012</v>
      </c>
      <c r="N31" t="s">
        <v>567</v>
      </c>
      <c r="O31" t="s">
        <v>572</v>
      </c>
      <c r="P31" t="s">
        <v>581</v>
      </c>
      <c r="Q31">
        <v>50</v>
      </c>
      <c r="R31">
        <v>657890.52</v>
      </c>
      <c r="S31">
        <v>-71.099000000000004</v>
      </c>
      <c r="T31">
        <v>42.351999999999997</v>
      </c>
    </row>
    <row r="32" spans="1:20" x14ac:dyDescent="0.3">
      <c r="A32" t="s">
        <v>47</v>
      </c>
      <c r="B32" t="s">
        <v>276</v>
      </c>
      <c r="C32" t="s">
        <v>301</v>
      </c>
      <c r="D32">
        <v>218</v>
      </c>
      <c r="E32" t="s">
        <v>587</v>
      </c>
      <c r="F32">
        <v>3</v>
      </c>
      <c r="G32">
        <v>3</v>
      </c>
      <c r="H32">
        <v>1908</v>
      </c>
      <c r="I32">
        <v>1164376.8</v>
      </c>
      <c r="J32">
        <v>2124</v>
      </c>
      <c r="K32">
        <v>548.20000000000005</v>
      </c>
      <c r="L32">
        <f t="shared" si="0"/>
        <v>2021</v>
      </c>
      <c r="M32" s="3">
        <v>44539</v>
      </c>
      <c r="N32" t="s">
        <v>570</v>
      </c>
      <c r="O32" t="s">
        <v>571</v>
      </c>
      <c r="P32" t="s">
        <v>591</v>
      </c>
      <c r="Q32">
        <v>13</v>
      </c>
      <c r="R32" t="s">
        <v>585</v>
      </c>
      <c r="S32">
        <v>-87.613</v>
      </c>
      <c r="T32">
        <v>41.975999999999999</v>
      </c>
    </row>
    <row r="33" spans="1:20" x14ac:dyDescent="0.3">
      <c r="A33" t="s">
        <v>48</v>
      </c>
      <c r="B33" t="s">
        <v>275</v>
      </c>
      <c r="C33" t="s">
        <v>302</v>
      </c>
      <c r="D33">
        <v>294</v>
      </c>
      <c r="E33" t="s">
        <v>587</v>
      </c>
      <c r="F33">
        <v>3</v>
      </c>
      <c r="G33">
        <v>3</v>
      </c>
      <c r="H33">
        <v>1976</v>
      </c>
      <c r="I33">
        <v>965007.6</v>
      </c>
      <c r="J33">
        <v>2018</v>
      </c>
      <c r="K33">
        <v>478.2</v>
      </c>
      <c r="L33">
        <f t="shared" si="0"/>
        <v>2021</v>
      </c>
      <c r="M33" s="3">
        <v>44516</v>
      </c>
      <c r="N33" t="s">
        <v>568</v>
      </c>
      <c r="O33" t="s">
        <v>571</v>
      </c>
      <c r="P33" t="s">
        <v>577</v>
      </c>
      <c r="Q33">
        <v>8</v>
      </c>
      <c r="R33">
        <v>965007.6</v>
      </c>
      <c r="S33">
        <v>-97.816999999999993</v>
      </c>
      <c r="T33">
        <v>30.367000000000001</v>
      </c>
    </row>
    <row r="34" spans="1:20" x14ac:dyDescent="0.3">
      <c r="A34" t="s">
        <v>49</v>
      </c>
      <c r="B34" t="s">
        <v>268</v>
      </c>
      <c r="C34" t="s">
        <v>303</v>
      </c>
      <c r="D34">
        <v>421</v>
      </c>
      <c r="E34" t="s">
        <v>583</v>
      </c>
      <c r="F34">
        <v>1</v>
      </c>
      <c r="G34">
        <v>1</v>
      </c>
      <c r="H34">
        <v>2003</v>
      </c>
      <c r="I34">
        <v>581923.53999999992</v>
      </c>
      <c r="J34">
        <v>1574</v>
      </c>
      <c r="K34">
        <v>369.71</v>
      </c>
      <c r="L34">
        <f t="shared" si="0"/>
        <v>2020</v>
      </c>
      <c r="M34" s="3">
        <v>43908</v>
      </c>
      <c r="N34" t="s">
        <v>568</v>
      </c>
      <c r="O34" t="s">
        <v>571</v>
      </c>
      <c r="P34" t="s">
        <v>577</v>
      </c>
      <c r="Q34">
        <v>35</v>
      </c>
      <c r="R34">
        <v>581923.53999999992</v>
      </c>
      <c r="S34">
        <v>-122.246</v>
      </c>
      <c r="T34">
        <v>47.69</v>
      </c>
    </row>
    <row r="35" spans="1:20" x14ac:dyDescent="0.3">
      <c r="A35" t="s">
        <v>50</v>
      </c>
      <c r="B35" t="s">
        <v>271</v>
      </c>
      <c r="C35" t="s">
        <v>287</v>
      </c>
      <c r="D35">
        <v>866</v>
      </c>
      <c r="E35" t="s">
        <v>586</v>
      </c>
      <c r="F35">
        <v>3</v>
      </c>
      <c r="G35">
        <v>2</v>
      </c>
      <c r="H35">
        <v>1941</v>
      </c>
      <c r="I35">
        <v>971760.92</v>
      </c>
      <c r="J35">
        <v>2041</v>
      </c>
      <c r="K35">
        <v>476.12</v>
      </c>
      <c r="L35">
        <f t="shared" si="0"/>
        <v>2021</v>
      </c>
      <c r="M35" s="3">
        <v>44312</v>
      </c>
      <c r="N35" t="s">
        <v>570</v>
      </c>
      <c r="O35" t="s">
        <v>573</v>
      </c>
      <c r="P35" t="s">
        <v>589</v>
      </c>
      <c r="Q35">
        <v>22</v>
      </c>
      <c r="R35">
        <v>971760.92</v>
      </c>
      <c r="S35">
        <v>-70.971999999999994</v>
      </c>
      <c r="T35">
        <v>42.344000000000001</v>
      </c>
    </row>
    <row r="36" spans="1:20" x14ac:dyDescent="0.3">
      <c r="A36" t="s">
        <v>51</v>
      </c>
      <c r="B36" t="s">
        <v>274</v>
      </c>
      <c r="C36" t="s">
        <v>296</v>
      </c>
      <c r="D36">
        <v>576</v>
      </c>
      <c r="E36" t="s">
        <v>582</v>
      </c>
      <c r="F36">
        <v>3</v>
      </c>
      <c r="G36">
        <v>3</v>
      </c>
      <c r="H36">
        <v>2006</v>
      </c>
      <c r="I36">
        <v>1184393.1200000001</v>
      </c>
      <c r="J36">
        <v>2014</v>
      </c>
      <c r="K36">
        <v>588.08000000000004</v>
      </c>
      <c r="L36">
        <f t="shared" si="0"/>
        <v>2021</v>
      </c>
      <c r="M36" s="3">
        <v>44345</v>
      </c>
      <c r="N36" t="s">
        <v>568</v>
      </c>
      <c r="O36" t="s">
        <v>573</v>
      </c>
      <c r="P36" t="s">
        <v>584</v>
      </c>
      <c r="Q36">
        <v>30</v>
      </c>
      <c r="R36" t="s">
        <v>585</v>
      </c>
      <c r="S36">
        <v>-118.21899999999999</v>
      </c>
      <c r="T36">
        <v>34.106999999999999</v>
      </c>
    </row>
    <row r="37" spans="1:20" x14ac:dyDescent="0.3">
      <c r="A37" t="s">
        <v>52</v>
      </c>
      <c r="B37" t="s">
        <v>270</v>
      </c>
      <c r="C37" t="s">
        <v>304</v>
      </c>
      <c r="D37">
        <v>788</v>
      </c>
      <c r="E37" t="s">
        <v>587</v>
      </c>
      <c r="F37">
        <v>5</v>
      </c>
      <c r="G37">
        <v>5</v>
      </c>
      <c r="H37">
        <v>2015</v>
      </c>
      <c r="I37">
        <v>2133885.83</v>
      </c>
      <c r="J37">
        <v>2801</v>
      </c>
      <c r="K37">
        <v>761.83</v>
      </c>
      <c r="L37">
        <f t="shared" si="0"/>
        <v>2018</v>
      </c>
      <c r="M37" s="3">
        <v>43448</v>
      </c>
      <c r="N37" t="s">
        <v>568</v>
      </c>
      <c r="O37" t="s">
        <v>571</v>
      </c>
      <c r="P37" t="s">
        <v>581</v>
      </c>
      <c r="Q37">
        <v>40</v>
      </c>
      <c r="R37" t="s">
        <v>585</v>
      </c>
      <c r="S37">
        <v>-74.043000000000006</v>
      </c>
      <c r="T37">
        <v>40.737000000000002</v>
      </c>
    </row>
    <row r="38" spans="1:20" x14ac:dyDescent="0.3">
      <c r="A38" t="s">
        <v>53</v>
      </c>
      <c r="B38" t="s">
        <v>276</v>
      </c>
      <c r="C38" t="s">
        <v>305</v>
      </c>
      <c r="D38">
        <v>813</v>
      </c>
      <c r="E38" t="s">
        <v>582</v>
      </c>
      <c r="F38">
        <v>2</v>
      </c>
      <c r="G38">
        <v>2</v>
      </c>
      <c r="H38">
        <v>1931</v>
      </c>
      <c r="I38">
        <v>862994.72000000009</v>
      </c>
      <c r="J38">
        <v>1864</v>
      </c>
      <c r="K38">
        <v>462.98</v>
      </c>
      <c r="L38">
        <f t="shared" si="0"/>
        <v>2024</v>
      </c>
      <c r="M38" s="3">
        <v>45604</v>
      </c>
      <c r="N38" t="s">
        <v>566</v>
      </c>
      <c r="O38" t="s">
        <v>571</v>
      </c>
      <c r="P38" t="s">
        <v>589</v>
      </c>
      <c r="Q38">
        <v>22</v>
      </c>
      <c r="R38">
        <v>862994.72000000009</v>
      </c>
      <c r="S38">
        <v>-87.605000000000004</v>
      </c>
      <c r="T38">
        <v>41.957000000000001</v>
      </c>
    </row>
    <row r="39" spans="1:20" x14ac:dyDescent="0.3">
      <c r="A39" t="s">
        <v>54</v>
      </c>
      <c r="B39" t="s">
        <v>270</v>
      </c>
      <c r="C39" t="s">
        <v>306</v>
      </c>
      <c r="D39">
        <v>151</v>
      </c>
      <c r="E39" t="s">
        <v>580</v>
      </c>
      <c r="F39">
        <v>2</v>
      </c>
      <c r="G39">
        <v>2</v>
      </c>
      <c r="H39">
        <v>1988</v>
      </c>
      <c r="I39">
        <v>952172.64999999991</v>
      </c>
      <c r="J39">
        <v>1793</v>
      </c>
      <c r="K39">
        <v>531.04999999999995</v>
      </c>
      <c r="L39">
        <f t="shared" si="0"/>
        <v>2019</v>
      </c>
      <c r="M39" s="3">
        <v>43537</v>
      </c>
      <c r="N39" t="s">
        <v>569</v>
      </c>
      <c r="O39" t="s">
        <v>573</v>
      </c>
      <c r="P39" t="s">
        <v>588</v>
      </c>
      <c r="Q39">
        <v>108</v>
      </c>
      <c r="R39">
        <v>952172.64999999991</v>
      </c>
      <c r="S39">
        <v>-73.971000000000004</v>
      </c>
      <c r="T39">
        <v>40.771000000000001</v>
      </c>
    </row>
    <row r="40" spans="1:20" x14ac:dyDescent="0.3">
      <c r="A40" t="s">
        <v>55</v>
      </c>
      <c r="B40" t="s">
        <v>276</v>
      </c>
      <c r="C40" t="s">
        <v>307</v>
      </c>
      <c r="D40">
        <v>616</v>
      </c>
      <c r="E40" t="s">
        <v>582</v>
      </c>
      <c r="F40">
        <v>4</v>
      </c>
      <c r="G40">
        <v>4</v>
      </c>
      <c r="H40">
        <v>1959</v>
      </c>
      <c r="I40">
        <v>1360161.5999999999</v>
      </c>
      <c r="J40">
        <v>2352</v>
      </c>
      <c r="K40">
        <v>578.29999999999995</v>
      </c>
      <c r="L40">
        <f t="shared" si="0"/>
        <v>2024</v>
      </c>
      <c r="M40" s="3">
        <v>45390</v>
      </c>
      <c r="N40" t="s">
        <v>570</v>
      </c>
      <c r="O40" t="s">
        <v>571</v>
      </c>
      <c r="P40" t="s">
        <v>589</v>
      </c>
      <c r="Q40">
        <v>33</v>
      </c>
      <c r="R40" t="s">
        <v>585</v>
      </c>
      <c r="S40">
        <v>-87.631</v>
      </c>
      <c r="T40">
        <v>41.930999999999997</v>
      </c>
    </row>
    <row r="41" spans="1:20" x14ac:dyDescent="0.3">
      <c r="A41" t="s">
        <v>56</v>
      </c>
      <c r="B41" t="s">
        <v>273</v>
      </c>
      <c r="C41" t="s">
        <v>285</v>
      </c>
      <c r="D41">
        <v>741</v>
      </c>
      <c r="E41" t="s">
        <v>586</v>
      </c>
      <c r="F41">
        <v>2</v>
      </c>
      <c r="G41">
        <v>1</v>
      </c>
      <c r="H41">
        <v>1960</v>
      </c>
      <c r="I41">
        <v>923348.39999999991</v>
      </c>
      <c r="J41">
        <v>1508</v>
      </c>
      <c r="K41">
        <v>612.29999999999995</v>
      </c>
      <c r="L41">
        <f t="shared" si="0"/>
        <v>2020</v>
      </c>
      <c r="M41" s="3">
        <v>44162</v>
      </c>
      <c r="N41" t="s">
        <v>567</v>
      </c>
      <c r="O41" t="s">
        <v>572</v>
      </c>
      <c r="P41" t="s">
        <v>588</v>
      </c>
      <c r="Q41">
        <v>57</v>
      </c>
      <c r="R41">
        <v>923348.39999999991</v>
      </c>
      <c r="S41">
        <v>-122.624</v>
      </c>
      <c r="T41">
        <v>45.475000000000001</v>
      </c>
    </row>
    <row r="42" spans="1:20" x14ac:dyDescent="0.3">
      <c r="A42" t="s">
        <v>57</v>
      </c>
      <c r="B42" t="s">
        <v>271</v>
      </c>
      <c r="C42" t="s">
        <v>290</v>
      </c>
      <c r="D42">
        <v>810</v>
      </c>
      <c r="E42" t="s">
        <v>586</v>
      </c>
      <c r="F42">
        <v>1</v>
      </c>
      <c r="G42">
        <v>1</v>
      </c>
      <c r="H42">
        <v>1930</v>
      </c>
      <c r="I42">
        <v>666821.57999999996</v>
      </c>
      <c r="J42">
        <v>1698</v>
      </c>
      <c r="K42">
        <v>392.71</v>
      </c>
      <c r="L42">
        <f t="shared" si="0"/>
        <v>2021</v>
      </c>
      <c r="M42" s="3">
        <v>44476</v>
      </c>
      <c r="N42" t="s">
        <v>568</v>
      </c>
      <c r="O42" t="s">
        <v>572</v>
      </c>
      <c r="P42" t="s">
        <v>588</v>
      </c>
      <c r="Q42">
        <v>77</v>
      </c>
      <c r="R42">
        <v>666821.57999999996</v>
      </c>
      <c r="S42">
        <v>-71.13</v>
      </c>
      <c r="T42">
        <v>42.276000000000003</v>
      </c>
    </row>
    <row r="43" spans="1:20" x14ac:dyDescent="0.3">
      <c r="A43" t="s">
        <v>58</v>
      </c>
      <c r="B43" t="s">
        <v>276</v>
      </c>
      <c r="C43" t="s">
        <v>307</v>
      </c>
      <c r="D43">
        <v>812</v>
      </c>
      <c r="E43" t="s">
        <v>583</v>
      </c>
      <c r="F43">
        <v>4</v>
      </c>
      <c r="G43">
        <v>4</v>
      </c>
      <c r="H43">
        <v>1969</v>
      </c>
      <c r="I43">
        <v>1205687</v>
      </c>
      <c r="J43">
        <v>2050</v>
      </c>
      <c r="K43">
        <v>588.14</v>
      </c>
      <c r="L43">
        <f t="shared" si="0"/>
        <v>2022</v>
      </c>
      <c r="M43" s="3">
        <v>44804</v>
      </c>
      <c r="N43" t="s">
        <v>566</v>
      </c>
      <c r="O43" t="s">
        <v>573</v>
      </c>
      <c r="P43" t="s">
        <v>577</v>
      </c>
      <c r="Q43">
        <v>100</v>
      </c>
      <c r="R43" t="s">
        <v>585</v>
      </c>
      <c r="S43">
        <v>-87.539000000000001</v>
      </c>
      <c r="T43">
        <v>41.863999999999997</v>
      </c>
    </row>
    <row r="44" spans="1:20" x14ac:dyDescent="0.3">
      <c r="A44" t="s">
        <v>59</v>
      </c>
      <c r="B44" t="s">
        <v>274</v>
      </c>
      <c r="C44" t="s">
        <v>292</v>
      </c>
      <c r="D44">
        <v>599</v>
      </c>
      <c r="E44" t="s">
        <v>586</v>
      </c>
      <c r="F44">
        <v>4</v>
      </c>
      <c r="G44">
        <v>4</v>
      </c>
      <c r="H44">
        <v>1945</v>
      </c>
      <c r="I44">
        <v>1413433.5999999999</v>
      </c>
      <c r="J44">
        <v>2152</v>
      </c>
      <c r="K44">
        <v>656.8</v>
      </c>
      <c r="L44">
        <f t="shared" si="0"/>
        <v>2022</v>
      </c>
      <c r="M44" s="3">
        <v>44698</v>
      </c>
      <c r="N44" t="s">
        <v>569</v>
      </c>
      <c r="O44" t="s">
        <v>571</v>
      </c>
      <c r="P44" t="s">
        <v>581</v>
      </c>
      <c r="Q44">
        <v>37</v>
      </c>
      <c r="R44" t="s">
        <v>585</v>
      </c>
      <c r="S44">
        <v>-118.18</v>
      </c>
      <c r="T44">
        <v>34.097000000000001</v>
      </c>
    </row>
    <row r="45" spans="1:20" x14ac:dyDescent="0.3">
      <c r="A45" t="s">
        <v>60</v>
      </c>
      <c r="B45" t="s">
        <v>271</v>
      </c>
      <c r="C45" t="s">
        <v>290</v>
      </c>
      <c r="D45">
        <v>706</v>
      </c>
      <c r="E45" t="s">
        <v>580</v>
      </c>
      <c r="F45">
        <v>4</v>
      </c>
      <c r="G45">
        <v>4</v>
      </c>
      <c r="H45">
        <v>1943</v>
      </c>
      <c r="I45">
        <v>1184435.6400000001</v>
      </c>
      <c r="J45">
        <v>2274</v>
      </c>
      <c r="K45">
        <v>520.86</v>
      </c>
      <c r="L45">
        <f t="shared" si="0"/>
        <v>2019</v>
      </c>
      <c r="M45" s="3">
        <v>43777</v>
      </c>
      <c r="N45" t="s">
        <v>569</v>
      </c>
      <c r="O45" t="s">
        <v>572</v>
      </c>
      <c r="P45" t="s">
        <v>588</v>
      </c>
      <c r="Q45">
        <v>37</v>
      </c>
      <c r="R45" t="s">
        <v>585</v>
      </c>
      <c r="S45">
        <v>-71.052999999999997</v>
      </c>
      <c r="T45">
        <v>42.456000000000003</v>
      </c>
    </row>
    <row r="46" spans="1:20" x14ac:dyDescent="0.3">
      <c r="A46" t="s">
        <v>61</v>
      </c>
      <c r="B46" t="s">
        <v>268</v>
      </c>
      <c r="C46" t="s">
        <v>291</v>
      </c>
      <c r="D46">
        <v>384</v>
      </c>
      <c r="E46" t="s">
        <v>582</v>
      </c>
      <c r="F46">
        <v>4</v>
      </c>
      <c r="G46">
        <v>4</v>
      </c>
      <c r="H46">
        <v>1959</v>
      </c>
      <c r="I46">
        <v>1099458.1400000001</v>
      </c>
      <c r="J46">
        <v>2134</v>
      </c>
      <c r="K46">
        <v>515.21</v>
      </c>
      <c r="L46">
        <f t="shared" si="0"/>
        <v>2018</v>
      </c>
      <c r="M46" s="3">
        <v>43306</v>
      </c>
      <c r="N46" t="s">
        <v>568</v>
      </c>
      <c r="O46" t="s">
        <v>571</v>
      </c>
      <c r="P46" t="s">
        <v>588</v>
      </c>
      <c r="Q46">
        <v>7</v>
      </c>
      <c r="R46">
        <v>1099458.1400000001</v>
      </c>
      <c r="S46">
        <v>-122.36499999999999</v>
      </c>
      <c r="T46">
        <v>47.542000000000002</v>
      </c>
    </row>
    <row r="47" spans="1:20" x14ac:dyDescent="0.3">
      <c r="A47" t="s">
        <v>62</v>
      </c>
      <c r="B47" t="s">
        <v>271</v>
      </c>
      <c r="C47" t="s">
        <v>283</v>
      </c>
      <c r="D47">
        <v>353</v>
      </c>
      <c r="E47" t="s">
        <v>586</v>
      </c>
      <c r="F47">
        <v>4</v>
      </c>
      <c r="G47">
        <v>4</v>
      </c>
      <c r="H47">
        <v>1969</v>
      </c>
      <c r="I47">
        <v>1513480.3499999999</v>
      </c>
      <c r="J47">
        <v>2787</v>
      </c>
      <c r="K47">
        <v>543.04999999999995</v>
      </c>
      <c r="L47">
        <f t="shared" si="0"/>
        <v>2021</v>
      </c>
      <c r="M47" s="3">
        <v>44534</v>
      </c>
      <c r="N47" t="s">
        <v>567</v>
      </c>
      <c r="O47" t="s">
        <v>571</v>
      </c>
      <c r="P47" t="s">
        <v>591</v>
      </c>
      <c r="Q47">
        <v>25</v>
      </c>
      <c r="R47" t="s">
        <v>585</v>
      </c>
      <c r="S47">
        <v>-71.03</v>
      </c>
      <c r="T47">
        <v>42.415999999999997</v>
      </c>
    </row>
    <row r="48" spans="1:20" x14ac:dyDescent="0.3">
      <c r="A48" t="s">
        <v>63</v>
      </c>
      <c r="B48" t="s">
        <v>268</v>
      </c>
      <c r="C48" t="s">
        <v>279</v>
      </c>
      <c r="D48">
        <v>721</v>
      </c>
      <c r="E48" t="s">
        <v>583</v>
      </c>
      <c r="F48">
        <v>2</v>
      </c>
      <c r="G48">
        <v>2</v>
      </c>
      <c r="H48">
        <v>1960</v>
      </c>
      <c r="I48">
        <v>690554.28</v>
      </c>
      <c r="J48">
        <v>2003</v>
      </c>
      <c r="K48">
        <v>344.76</v>
      </c>
      <c r="L48">
        <f t="shared" si="0"/>
        <v>2024</v>
      </c>
      <c r="M48" s="3">
        <v>45411</v>
      </c>
      <c r="N48" t="s">
        <v>567</v>
      </c>
      <c r="O48" t="s">
        <v>571</v>
      </c>
      <c r="P48" t="s">
        <v>577</v>
      </c>
      <c r="Q48">
        <v>41</v>
      </c>
      <c r="R48">
        <v>690554.28</v>
      </c>
      <c r="S48">
        <v>-122.35599999999999</v>
      </c>
      <c r="T48">
        <v>47.551000000000002</v>
      </c>
    </row>
    <row r="49" spans="1:20" x14ac:dyDescent="0.3">
      <c r="A49" t="s">
        <v>64</v>
      </c>
      <c r="B49" t="s">
        <v>275</v>
      </c>
      <c r="C49" t="s">
        <v>308</v>
      </c>
      <c r="D49">
        <v>950</v>
      </c>
      <c r="E49" t="s">
        <v>586</v>
      </c>
      <c r="F49">
        <v>1</v>
      </c>
      <c r="G49">
        <v>1</v>
      </c>
      <c r="H49">
        <v>2018</v>
      </c>
      <c r="I49">
        <v>596040.48</v>
      </c>
      <c r="J49">
        <v>1827</v>
      </c>
      <c r="K49">
        <v>326.24</v>
      </c>
      <c r="L49">
        <f t="shared" si="0"/>
        <v>2024</v>
      </c>
      <c r="M49" s="3">
        <v>45459</v>
      </c>
      <c r="N49" t="s">
        <v>569</v>
      </c>
      <c r="O49" t="s">
        <v>571</v>
      </c>
      <c r="P49" t="s">
        <v>589</v>
      </c>
      <c r="Q49">
        <v>40</v>
      </c>
      <c r="R49">
        <v>596040.48</v>
      </c>
      <c r="S49">
        <v>-97.825000000000003</v>
      </c>
      <c r="T49">
        <v>30.312999999999999</v>
      </c>
    </row>
    <row r="50" spans="1:20" x14ac:dyDescent="0.3">
      <c r="A50" t="s">
        <v>65</v>
      </c>
      <c r="B50" t="s">
        <v>267</v>
      </c>
      <c r="C50" t="s">
        <v>285</v>
      </c>
      <c r="D50">
        <v>449</v>
      </c>
      <c r="E50" t="s">
        <v>583</v>
      </c>
      <c r="F50">
        <v>5</v>
      </c>
      <c r="G50">
        <v>4</v>
      </c>
      <c r="H50">
        <v>2001</v>
      </c>
      <c r="I50">
        <v>1678852.7</v>
      </c>
      <c r="J50">
        <v>2765</v>
      </c>
      <c r="K50">
        <v>607.17999999999995</v>
      </c>
      <c r="L50">
        <f t="shared" si="0"/>
        <v>2018</v>
      </c>
      <c r="M50" s="3">
        <v>43269</v>
      </c>
      <c r="N50" t="s">
        <v>568</v>
      </c>
      <c r="O50" t="s">
        <v>571</v>
      </c>
      <c r="P50" t="s">
        <v>589</v>
      </c>
      <c r="Q50">
        <v>2</v>
      </c>
      <c r="R50" t="s">
        <v>585</v>
      </c>
      <c r="S50">
        <v>-122.416</v>
      </c>
      <c r="T50">
        <v>37.802</v>
      </c>
    </row>
    <row r="51" spans="1:20" x14ac:dyDescent="0.3">
      <c r="A51" t="s">
        <v>66</v>
      </c>
      <c r="B51" t="s">
        <v>272</v>
      </c>
      <c r="C51" t="s">
        <v>284</v>
      </c>
      <c r="D51">
        <v>927</v>
      </c>
      <c r="E51" t="s">
        <v>580</v>
      </c>
      <c r="F51">
        <v>1</v>
      </c>
      <c r="G51">
        <v>1</v>
      </c>
      <c r="H51">
        <v>1946</v>
      </c>
      <c r="I51">
        <v>584602.20000000007</v>
      </c>
      <c r="J51">
        <v>1170</v>
      </c>
      <c r="K51">
        <v>499.66</v>
      </c>
      <c r="L51">
        <f t="shared" si="0"/>
        <v>2019</v>
      </c>
      <c r="M51" s="3">
        <v>43727</v>
      </c>
      <c r="N51" t="s">
        <v>569</v>
      </c>
      <c r="O51" t="s">
        <v>573</v>
      </c>
      <c r="P51" t="s">
        <v>577</v>
      </c>
      <c r="Q51">
        <v>43</v>
      </c>
      <c r="R51">
        <v>584602.20000000007</v>
      </c>
      <c r="S51">
        <v>-80.16</v>
      </c>
      <c r="T51">
        <v>25.763999999999999</v>
      </c>
    </row>
    <row r="52" spans="1:20" x14ac:dyDescent="0.3">
      <c r="A52" t="s">
        <v>67</v>
      </c>
      <c r="B52" t="s">
        <v>270</v>
      </c>
      <c r="C52" t="s">
        <v>306</v>
      </c>
      <c r="D52">
        <v>868</v>
      </c>
      <c r="E52" t="s">
        <v>582</v>
      </c>
      <c r="F52">
        <v>4</v>
      </c>
      <c r="G52">
        <v>3</v>
      </c>
      <c r="H52">
        <v>1975</v>
      </c>
      <c r="I52">
        <v>1608388.26</v>
      </c>
      <c r="J52">
        <v>2463</v>
      </c>
      <c r="K52">
        <v>653.02</v>
      </c>
      <c r="L52">
        <f t="shared" si="0"/>
        <v>2021</v>
      </c>
      <c r="M52" s="3">
        <v>44421</v>
      </c>
      <c r="N52" t="s">
        <v>567</v>
      </c>
      <c r="O52" t="s">
        <v>572</v>
      </c>
      <c r="P52" t="s">
        <v>581</v>
      </c>
      <c r="Q52">
        <v>14</v>
      </c>
      <c r="R52" t="s">
        <v>585</v>
      </c>
      <c r="S52">
        <v>-73.933999999999997</v>
      </c>
      <c r="T52">
        <v>40.627000000000002</v>
      </c>
    </row>
    <row r="53" spans="1:20" x14ac:dyDescent="0.3">
      <c r="A53" t="s">
        <v>68</v>
      </c>
      <c r="B53" t="s">
        <v>274</v>
      </c>
      <c r="C53" t="s">
        <v>296</v>
      </c>
      <c r="D53">
        <v>818</v>
      </c>
      <c r="E53" t="s">
        <v>587</v>
      </c>
      <c r="F53">
        <v>4</v>
      </c>
      <c r="G53">
        <v>4</v>
      </c>
      <c r="H53">
        <v>1963</v>
      </c>
      <c r="I53">
        <v>1702238.74</v>
      </c>
      <c r="J53">
        <v>2458</v>
      </c>
      <c r="K53">
        <v>692.53</v>
      </c>
      <c r="L53">
        <f t="shared" si="0"/>
        <v>2020</v>
      </c>
      <c r="M53" s="3">
        <v>43845</v>
      </c>
      <c r="N53" t="s">
        <v>569</v>
      </c>
      <c r="O53" t="s">
        <v>573</v>
      </c>
      <c r="P53" t="s">
        <v>577</v>
      </c>
      <c r="Q53">
        <v>13</v>
      </c>
      <c r="R53" t="s">
        <v>585</v>
      </c>
      <c r="S53">
        <v>-118.27200000000001</v>
      </c>
      <c r="T53">
        <v>34.11</v>
      </c>
    </row>
    <row r="54" spans="1:20" x14ac:dyDescent="0.3">
      <c r="A54" t="s">
        <v>69</v>
      </c>
      <c r="B54" t="s">
        <v>273</v>
      </c>
      <c r="C54" t="s">
        <v>309</v>
      </c>
      <c r="D54">
        <v>602</v>
      </c>
      <c r="E54" t="s">
        <v>582</v>
      </c>
      <c r="F54">
        <v>5</v>
      </c>
      <c r="G54">
        <v>4</v>
      </c>
      <c r="H54">
        <v>1910</v>
      </c>
      <c r="I54">
        <v>2303834.88</v>
      </c>
      <c r="J54">
        <v>3166</v>
      </c>
      <c r="K54">
        <v>727.68</v>
      </c>
      <c r="L54">
        <f t="shared" si="0"/>
        <v>2022</v>
      </c>
      <c r="M54" s="3">
        <v>44765</v>
      </c>
      <c r="N54" t="s">
        <v>569</v>
      </c>
      <c r="O54" t="s">
        <v>571</v>
      </c>
      <c r="P54" t="s">
        <v>589</v>
      </c>
      <c r="Q54">
        <v>0</v>
      </c>
      <c r="R54" t="s">
        <v>585</v>
      </c>
      <c r="S54">
        <v>-122.685</v>
      </c>
      <c r="T54">
        <v>45.468000000000004</v>
      </c>
    </row>
    <row r="55" spans="1:20" x14ac:dyDescent="0.3">
      <c r="A55" t="s">
        <v>70</v>
      </c>
      <c r="B55" t="s">
        <v>268</v>
      </c>
      <c r="C55" t="s">
        <v>291</v>
      </c>
      <c r="D55">
        <v>663</v>
      </c>
      <c r="E55" t="s">
        <v>587</v>
      </c>
      <c r="F55">
        <v>3</v>
      </c>
      <c r="G55">
        <v>3</v>
      </c>
      <c r="H55">
        <v>1988</v>
      </c>
      <c r="I55">
        <v>926451.44</v>
      </c>
      <c r="J55">
        <v>2264</v>
      </c>
      <c r="K55">
        <v>409.21</v>
      </c>
      <c r="L55">
        <f t="shared" si="0"/>
        <v>2021</v>
      </c>
      <c r="M55" s="3">
        <v>44355</v>
      </c>
      <c r="N55" t="s">
        <v>570</v>
      </c>
      <c r="O55" t="s">
        <v>571</v>
      </c>
      <c r="P55" t="s">
        <v>589</v>
      </c>
      <c r="Q55">
        <v>58</v>
      </c>
      <c r="R55">
        <v>926451.44</v>
      </c>
      <c r="S55">
        <v>-122.361</v>
      </c>
      <c r="T55">
        <v>47.610999999999997</v>
      </c>
    </row>
    <row r="56" spans="1:20" x14ac:dyDescent="0.3">
      <c r="A56" t="s">
        <v>71</v>
      </c>
      <c r="B56" t="s">
        <v>269</v>
      </c>
      <c r="C56" t="s">
        <v>288</v>
      </c>
      <c r="D56">
        <v>296</v>
      </c>
      <c r="E56" t="s">
        <v>586</v>
      </c>
      <c r="F56">
        <v>3</v>
      </c>
      <c r="G56">
        <v>3</v>
      </c>
      <c r="H56">
        <v>1929</v>
      </c>
      <c r="I56">
        <v>1223536.6000000001</v>
      </c>
      <c r="J56">
        <v>2390</v>
      </c>
      <c r="K56">
        <v>511.94</v>
      </c>
      <c r="L56">
        <f t="shared" si="0"/>
        <v>2020</v>
      </c>
      <c r="M56" s="3">
        <v>43889</v>
      </c>
      <c r="N56" t="s">
        <v>568</v>
      </c>
      <c r="O56" t="s">
        <v>573</v>
      </c>
      <c r="P56" t="s">
        <v>581</v>
      </c>
      <c r="Q56">
        <v>63</v>
      </c>
      <c r="R56" t="s">
        <v>585</v>
      </c>
      <c r="S56">
        <v>-104.938</v>
      </c>
      <c r="T56">
        <v>39.747</v>
      </c>
    </row>
    <row r="57" spans="1:20" x14ac:dyDescent="0.3">
      <c r="A57" t="s">
        <v>72</v>
      </c>
      <c r="B57" t="s">
        <v>270</v>
      </c>
      <c r="C57" t="s">
        <v>310</v>
      </c>
      <c r="D57">
        <v>114</v>
      </c>
      <c r="E57" t="s">
        <v>580</v>
      </c>
      <c r="F57">
        <v>5</v>
      </c>
      <c r="G57">
        <v>4</v>
      </c>
      <c r="H57">
        <v>1967</v>
      </c>
      <c r="I57">
        <v>2045685.4600000002</v>
      </c>
      <c r="J57">
        <v>2803</v>
      </c>
      <c r="K57">
        <v>729.82</v>
      </c>
      <c r="L57">
        <f t="shared" si="0"/>
        <v>2021</v>
      </c>
      <c r="M57" s="3">
        <v>44260</v>
      </c>
      <c r="N57" t="s">
        <v>566</v>
      </c>
      <c r="O57" t="s">
        <v>572</v>
      </c>
      <c r="P57" t="s">
        <v>584</v>
      </c>
      <c r="Q57">
        <v>91</v>
      </c>
      <c r="R57" t="s">
        <v>585</v>
      </c>
      <c r="S57">
        <v>-74.037999999999997</v>
      </c>
      <c r="T57">
        <v>40.668999999999997</v>
      </c>
    </row>
    <row r="58" spans="1:20" x14ac:dyDescent="0.3">
      <c r="A58" t="s">
        <v>73</v>
      </c>
      <c r="B58" t="s">
        <v>275</v>
      </c>
      <c r="C58" t="s">
        <v>308</v>
      </c>
      <c r="D58">
        <v>551</v>
      </c>
      <c r="E58" t="s">
        <v>587</v>
      </c>
      <c r="F58">
        <v>1</v>
      </c>
      <c r="G58">
        <v>1</v>
      </c>
      <c r="H58">
        <v>1970</v>
      </c>
      <c r="I58">
        <v>517190.99000000005</v>
      </c>
      <c r="J58">
        <v>1439</v>
      </c>
      <c r="K58">
        <v>359.41</v>
      </c>
      <c r="L58">
        <f t="shared" si="0"/>
        <v>2019</v>
      </c>
      <c r="M58" s="3">
        <v>43618</v>
      </c>
      <c r="N58" t="s">
        <v>569</v>
      </c>
      <c r="O58" t="s">
        <v>573</v>
      </c>
      <c r="P58" t="s">
        <v>588</v>
      </c>
      <c r="Q58">
        <v>8</v>
      </c>
      <c r="R58">
        <v>517190.99000000005</v>
      </c>
      <c r="S58">
        <v>-97.783000000000001</v>
      </c>
      <c r="T58">
        <v>30.172000000000001</v>
      </c>
    </row>
    <row r="59" spans="1:20" x14ac:dyDescent="0.3">
      <c r="A59" t="s">
        <v>74</v>
      </c>
      <c r="B59" t="s">
        <v>275</v>
      </c>
      <c r="C59" t="s">
        <v>296</v>
      </c>
      <c r="D59">
        <v>252</v>
      </c>
      <c r="E59" t="s">
        <v>580</v>
      </c>
      <c r="F59">
        <v>3</v>
      </c>
      <c r="G59">
        <v>2</v>
      </c>
      <c r="H59">
        <v>1961</v>
      </c>
      <c r="I59">
        <v>910819.44</v>
      </c>
      <c r="J59">
        <v>1896</v>
      </c>
      <c r="K59">
        <v>480.39</v>
      </c>
      <c r="L59">
        <f t="shared" si="0"/>
        <v>2018</v>
      </c>
      <c r="M59" s="3">
        <v>43368</v>
      </c>
      <c r="N59" t="s">
        <v>569</v>
      </c>
      <c r="O59" t="s">
        <v>571</v>
      </c>
      <c r="P59" t="s">
        <v>581</v>
      </c>
      <c r="Q59">
        <v>45</v>
      </c>
      <c r="R59">
        <v>910819.44</v>
      </c>
      <c r="S59">
        <v>-97.703000000000003</v>
      </c>
      <c r="T59">
        <v>30.285</v>
      </c>
    </row>
    <row r="60" spans="1:20" x14ac:dyDescent="0.3">
      <c r="A60" t="s">
        <v>75</v>
      </c>
      <c r="B60" t="s">
        <v>271</v>
      </c>
      <c r="C60" t="s">
        <v>283</v>
      </c>
      <c r="D60">
        <v>553</v>
      </c>
      <c r="E60" t="s">
        <v>587</v>
      </c>
      <c r="F60">
        <v>2</v>
      </c>
      <c r="G60">
        <v>2</v>
      </c>
      <c r="H60">
        <v>1997</v>
      </c>
      <c r="I60">
        <v>966067.41</v>
      </c>
      <c r="J60">
        <v>1869</v>
      </c>
      <c r="K60">
        <v>516.89</v>
      </c>
      <c r="L60">
        <f t="shared" si="0"/>
        <v>2024</v>
      </c>
      <c r="M60" s="3">
        <v>45584</v>
      </c>
      <c r="N60" t="s">
        <v>570</v>
      </c>
      <c r="O60" t="s">
        <v>572</v>
      </c>
      <c r="P60" t="s">
        <v>588</v>
      </c>
      <c r="Q60">
        <v>35</v>
      </c>
      <c r="R60">
        <v>966067.41</v>
      </c>
      <c r="S60">
        <v>-71.055000000000007</v>
      </c>
      <c r="T60">
        <v>42.305</v>
      </c>
    </row>
    <row r="61" spans="1:20" x14ac:dyDescent="0.3">
      <c r="A61" t="s">
        <v>76</v>
      </c>
      <c r="B61" t="s">
        <v>274</v>
      </c>
      <c r="C61" t="s">
        <v>292</v>
      </c>
      <c r="D61">
        <v>277</v>
      </c>
      <c r="E61" t="s">
        <v>580</v>
      </c>
      <c r="F61">
        <v>3</v>
      </c>
      <c r="G61">
        <v>3</v>
      </c>
      <c r="H61">
        <v>1907</v>
      </c>
      <c r="I61">
        <v>1544547.3</v>
      </c>
      <c r="J61">
        <v>2463</v>
      </c>
      <c r="K61">
        <v>627.1</v>
      </c>
      <c r="L61">
        <f t="shared" si="0"/>
        <v>2019</v>
      </c>
      <c r="M61" s="3">
        <v>43507</v>
      </c>
      <c r="N61" t="s">
        <v>567</v>
      </c>
      <c r="O61" t="s">
        <v>571</v>
      </c>
      <c r="P61" t="s">
        <v>581</v>
      </c>
      <c r="Q61">
        <v>116</v>
      </c>
      <c r="R61" t="s">
        <v>585</v>
      </c>
      <c r="S61">
        <v>-118.324</v>
      </c>
      <c r="T61">
        <v>34.003</v>
      </c>
    </row>
    <row r="62" spans="1:20" x14ac:dyDescent="0.3">
      <c r="A62" t="s">
        <v>77</v>
      </c>
      <c r="B62" t="s">
        <v>267</v>
      </c>
      <c r="C62" t="s">
        <v>311</v>
      </c>
      <c r="D62">
        <v>172</v>
      </c>
      <c r="E62" t="s">
        <v>586</v>
      </c>
      <c r="F62">
        <v>1</v>
      </c>
      <c r="G62">
        <v>1</v>
      </c>
      <c r="H62">
        <v>1988</v>
      </c>
      <c r="I62">
        <v>575327.52</v>
      </c>
      <c r="J62">
        <v>1656</v>
      </c>
      <c r="K62">
        <v>347.42</v>
      </c>
      <c r="L62">
        <f t="shared" si="0"/>
        <v>2023</v>
      </c>
      <c r="M62" s="3">
        <v>45025</v>
      </c>
      <c r="N62" t="s">
        <v>568</v>
      </c>
      <c r="O62" t="s">
        <v>573</v>
      </c>
      <c r="P62" t="s">
        <v>588</v>
      </c>
      <c r="Q62">
        <v>2</v>
      </c>
      <c r="R62">
        <v>575327.52</v>
      </c>
      <c r="S62">
        <v>-122.373</v>
      </c>
      <c r="T62">
        <v>37.728000000000002</v>
      </c>
    </row>
    <row r="63" spans="1:20" x14ac:dyDescent="0.3">
      <c r="A63" t="s">
        <v>78</v>
      </c>
      <c r="B63" t="s">
        <v>271</v>
      </c>
      <c r="C63" t="s">
        <v>287</v>
      </c>
      <c r="D63">
        <v>709</v>
      </c>
      <c r="E63" t="s">
        <v>580</v>
      </c>
      <c r="F63">
        <v>2</v>
      </c>
      <c r="G63">
        <v>2</v>
      </c>
      <c r="H63">
        <v>1969</v>
      </c>
      <c r="I63">
        <v>899527.46</v>
      </c>
      <c r="J63">
        <v>1921</v>
      </c>
      <c r="K63">
        <v>468.26</v>
      </c>
      <c r="L63">
        <f t="shared" si="0"/>
        <v>2019</v>
      </c>
      <c r="M63" s="3">
        <v>43711</v>
      </c>
      <c r="N63" t="s">
        <v>568</v>
      </c>
      <c r="O63" t="s">
        <v>572</v>
      </c>
      <c r="P63" t="s">
        <v>584</v>
      </c>
      <c r="Q63">
        <v>56</v>
      </c>
      <c r="R63">
        <v>899527.46</v>
      </c>
      <c r="S63">
        <v>-71.126999999999995</v>
      </c>
      <c r="T63">
        <v>42.274000000000001</v>
      </c>
    </row>
    <row r="64" spans="1:20" x14ac:dyDescent="0.3">
      <c r="A64" t="s">
        <v>79</v>
      </c>
      <c r="B64" t="s">
        <v>271</v>
      </c>
      <c r="C64" t="s">
        <v>290</v>
      </c>
      <c r="D64">
        <v>852</v>
      </c>
      <c r="E64" t="s">
        <v>587</v>
      </c>
      <c r="F64">
        <v>1</v>
      </c>
      <c r="G64">
        <v>1</v>
      </c>
      <c r="H64">
        <v>1938</v>
      </c>
      <c r="I64">
        <v>697260.92</v>
      </c>
      <c r="J64">
        <v>1618</v>
      </c>
      <c r="K64">
        <v>430.94</v>
      </c>
      <c r="L64">
        <f t="shared" si="0"/>
        <v>2021</v>
      </c>
      <c r="M64" s="3">
        <v>44216</v>
      </c>
      <c r="N64" t="s">
        <v>570</v>
      </c>
      <c r="O64" t="s">
        <v>571</v>
      </c>
      <c r="P64" t="s">
        <v>588</v>
      </c>
      <c r="Q64">
        <v>9</v>
      </c>
      <c r="R64">
        <v>697260.92</v>
      </c>
      <c r="S64">
        <v>-71.040000000000006</v>
      </c>
      <c r="T64">
        <v>42.347999999999999</v>
      </c>
    </row>
    <row r="65" spans="1:20" x14ac:dyDescent="0.3">
      <c r="A65" t="s">
        <v>80</v>
      </c>
      <c r="B65" t="s">
        <v>274</v>
      </c>
      <c r="C65" t="s">
        <v>312</v>
      </c>
      <c r="D65">
        <v>881</v>
      </c>
      <c r="E65" t="s">
        <v>586</v>
      </c>
      <c r="F65">
        <v>1</v>
      </c>
      <c r="G65">
        <v>1</v>
      </c>
      <c r="H65">
        <v>1986</v>
      </c>
      <c r="I65">
        <v>591652.59</v>
      </c>
      <c r="J65">
        <v>1121</v>
      </c>
      <c r="K65">
        <v>527.79</v>
      </c>
      <c r="L65">
        <f t="shared" si="0"/>
        <v>2024</v>
      </c>
      <c r="M65" s="3">
        <v>45505</v>
      </c>
      <c r="N65" t="s">
        <v>566</v>
      </c>
      <c r="O65" t="s">
        <v>574</v>
      </c>
      <c r="P65" t="s">
        <v>591</v>
      </c>
      <c r="Q65">
        <v>60</v>
      </c>
      <c r="R65">
        <v>591652.59</v>
      </c>
      <c r="S65">
        <v>-118.286</v>
      </c>
      <c r="T65">
        <v>34.084000000000003</v>
      </c>
    </row>
    <row r="66" spans="1:20" x14ac:dyDescent="0.3">
      <c r="A66" t="s">
        <v>81</v>
      </c>
      <c r="B66" t="s">
        <v>270</v>
      </c>
      <c r="C66" t="s">
        <v>281</v>
      </c>
      <c r="D66">
        <v>786</v>
      </c>
      <c r="E66" t="s">
        <v>583</v>
      </c>
      <c r="F66">
        <v>4</v>
      </c>
      <c r="G66">
        <v>3</v>
      </c>
      <c r="H66">
        <v>1923</v>
      </c>
      <c r="I66">
        <v>1466215.9200000002</v>
      </c>
      <c r="J66">
        <v>2454</v>
      </c>
      <c r="K66">
        <v>597.48</v>
      </c>
      <c r="L66">
        <f t="shared" ref="L66:L129" si="1">YEAR(M:M)</f>
        <v>2022</v>
      </c>
      <c r="M66" s="3">
        <v>44886</v>
      </c>
      <c r="N66" t="s">
        <v>569</v>
      </c>
      <c r="O66" t="s">
        <v>574</v>
      </c>
      <c r="P66" t="s">
        <v>584</v>
      </c>
      <c r="Q66">
        <v>40</v>
      </c>
      <c r="R66" t="s">
        <v>585</v>
      </c>
      <c r="S66">
        <v>-74.028000000000006</v>
      </c>
      <c r="T66">
        <v>40.704000000000001</v>
      </c>
    </row>
    <row r="67" spans="1:20" x14ac:dyDescent="0.3">
      <c r="A67" t="s">
        <v>82</v>
      </c>
      <c r="B67" t="s">
        <v>275</v>
      </c>
      <c r="C67" t="s">
        <v>308</v>
      </c>
      <c r="D67">
        <v>985</v>
      </c>
      <c r="E67" t="s">
        <v>580</v>
      </c>
      <c r="F67">
        <v>4</v>
      </c>
      <c r="G67">
        <v>3</v>
      </c>
      <c r="H67">
        <v>1936</v>
      </c>
      <c r="I67">
        <v>1266720</v>
      </c>
      <c r="J67">
        <v>2496</v>
      </c>
      <c r="K67">
        <v>507.5</v>
      </c>
      <c r="L67">
        <f t="shared" si="1"/>
        <v>2024</v>
      </c>
      <c r="M67" s="3">
        <v>45354</v>
      </c>
      <c r="N67" t="s">
        <v>566</v>
      </c>
      <c r="O67" t="s">
        <v>571</v>
      </c>
      <c r="P67" t="s">
        <v>588</v>
      </c>
      <c r="Q67">
        <v>39</v>
      </c>
      <c r="R67" t="s">
        <v>585</v>
      </c>
      <c r="S67">
        <v>-97.775000000000006</v>
      </c>
      <c r="T67">
        <v>30.233000000000001</v>
      </c>
    </row>
    <row r="68" spans="1:20" x14ac:dyDescent="0.3">
      <c r="A68" t="s">
        <v>83</v>
      </c>
      <c r="B68" t="s">
        <v>268</v>
      </c>
      <c r="C68" t="s">
        <v>291</v>
      </c>
      <c r="D68">
        <v>373</v>
      </c>
      <c r="E68" t="s">
        <v>580</v>
      </c>
      <c r="F68">
        <v>4</v>
      </c>
      <c r="G68">
        <v>4</v>
      </c>
      <c r="H68">
        <v>1924</v>
      </c>
      <c r="I68">
        <v>1110392.8500000001</v>
      </c>
      <c r="J68">
        <v>2415</v>
      </c>
      <c r="K68">
        <v>459.79</v>
      </c>
      <c r="L68">
        <f t="shared" si="1"/>
        <v>2022</v>
      </c>
      <c r="M68" s="3">
        <v>44582</v>
      </c>
      <c r="N68" t="s">
        <v>570</v>
      </c>
      <c r="O68" t="s">
        <v>572</v>
      </c>
      <c r="P68" t="s">
        <v>581</v>
      </c>
      <c r="Q68">
        <v>45</v>
      </c>
      <c r="R68">
        <v>1110392.8500000001</v>
      </c>
      <c r="S68">
        <v>-122.27800000000001</v>
      </c>
      <c r="T68">
        <v>47.625</v>
      </c>
    </row>
    <row r="69" spans="1:20" x14ac:dyDescent="0.3">
      <c r="A69" t="s">
        <v>84</v>
      </c>
      <c r="B69" t="s">
        <v>275</v>
      </c>
      <c r="C69" t="s">
        <v>308</v>
      </c>
      <c r="D69">
        <v>665</v>
      </c>
      <c r="E69" t="s">
        <v>582</v>
      </c>
      <c r="F69">
        <v>4</v>
      </c>
      <c r="G69">
        <v>3</v>
      </c>
      <c r="H69">
        <v>1962</v>
      </c>
      <c r="I69">
        <v>1468780.4</v>
      </c>
      <c r="J69">
        <v>2540</v>
      </c>
      <c r="K69">
        <v>578.26</v>
      </c>
      <c r="L69">
        <f t="shared" si="1"/>
        <v>2018</v>
      </c>
      <c r="M69" s="3">
        <v>43219</v>
      </c>
      <c r="N69" t="s">
        <v>570</v>
      </c>
      <c r="O69" t="s">
        <v>572</v>
      </c>
      <c r="P69" t="s">
        <v>591</v>
      </c>
      <c r="Q69">
        <v>66</v>
      </c>
      <c r="R69" t="s">
        <v>585</v>
      </c>
      <c r="S69">
        <v>-97.778000000000006</v>
      </c>
      <c r="T69">
        <v>30.312000000000001</v>
      </c>
    </row>
    <row r="70" spans="1:20" x14ac:dyDescent="0.3">
      <c r="A70" t="s">
        <v>85</v>
      </c>
      <c r="B70" t="s">
        <v>267</v>
      </c>
      <c r="C70" t="s">
        <v>311</v>
      </c>
      <c r="D70">
        <v>349</v>
      </c>
      <c r="E70" t="s">
        <v>582</v>
      </c>
      <c r="F70">
        <v>1</v>
      </c>
      <c r="G70">
        <v>1</v>
      </c>
      <c r="H70">
        <v>1915</v>
      </c>
      <c r="I70">
        <v>373885.08</v>
      </c>
      <c r="J70">
        <v>1156</v>
      </c>
      <c r="K70">
        <v>323.43</v>
      </c>
      <c r="L70">
        <f t="shared" si="1"/>
        <v>2023</v>
      </c>
      <c r="M70" s="3">
        <v>45142</v>
      </c>
      <c r="N70" t="s">
        <v>568</v>
      </c>
      <c r="O70" t="s">
        <v>571</v>
      </c>
      <c r="P70" t="s">
        <v>588</v>
      </c>
      <c r="Q70">
        <v>50</v>
      </c>
      <c r="R70">
        <v>373885.08</v>
      </c>
      <c r="S70">
        <v>-122.26300000000001</v>
      </c>
      <c r="T70">
        <v>37.725000000000001</v>
      </c>
    </row>
    <row r="71" spans="1:20" x14ac:dyDescent="0.3">
      <c r="A71" t="s">
        <v>86</v>
      </c>
      <c r="B71" t="s">
        <v>273</v>
      </c>
      <c r="C71" t="s">
        <v>289</v>
      </c>
      <c r="D71">
        <v>373</v>
      </c>
      <c r="E71" t="s">
        <v>583</v>
      </c>
      <c r="F71">
        <v>4</v>
      </c>
      <c r="G71">
        <v>4</v>
      </c>
      <c r="H71">
        <v>1976</v>
      </c>
      <c r="I71">
        <v>1734865.28</v>
      </c>
      <c r="J71">
        <v>2528</v>
      </c>
      <c r="K71">
        <v>686.26</v>
      </c>
      <c r="L71">
        <f t="shared" si="1"/>
        <v>2019</v>
      </c>
      <c r="M71" s="3">
        <v>43660</v>
      </c>
      <c r="N71" t="s">
        <v>566</v>
      </c>
      <c r="O71" t="s">
        <v>571</v>
      </c>
      <c r="P71" t="s">
        <v>577</v>
      </c>
      <c r="Q71">
        <v>150</v>
      </c>
      <c r="R71" t="s">
        <v>585</v>
      </c>
      <c r="S71">
        <v>-122.697</v>
      </c>
      <c r="T71">
        <v>45.578000000000003</v>
      </c>
    </row>
    <row r="72" spans="1:20" x14ac:dyDescent="0.3">
      <c r="A72" t="s">
        <v>87</v>
      </c>
      <c r="B72" t="s">
        <v>271</v>
      </c>
      <c r="C72" t="s">
        <v>313</v>
      </c>
      <c r="D72">
        <v>486</v>
      </c>
      <c r="E72" t="s">
        <v>582</v>
      </c>
      <c r="F72">
        <v>5</v>
      </c>
      <c r="G72">
        <v>5</v>
      </c>
      <c r="H72">
        <v>1984</v>
      </c>
      <c r="I72">
        <v>1931107.75</v>
      </c>
      <c r="J72">
        <v>2843</v>
      </c>
      <c r="K72">
        <v>679.25</v>
      </c>
      <c r="L72">
        <f t="shared" si="1"/>
        <v>2019</v>
      </c>
      <c r="M72" s="3">
        <v>43709</v>
      </c>
      <c r="N72" t="s">
        <v>569</v>
      </c>
      <c r="O72" t="s">
        <v>571</v>
      </c>
      <c r="P72" t="s">
        <v>577</v>
      </c>
      <c r="Q72">
        <v>63</v>
      </c>
      <c r="R72" t="s">
        <v>585</v>
      </c>
      <c r="S72">
        <v>-71.05</v>
      </c>
      <c r="T72">
        <v>42.329000000000001</v>
      </c>
    </row>
    <row r="73" spans="1:20" x14ac:dyDescent="0.3">
      <c r="A73" t="s">
        <v>88</v>
      </c>
      <c r="B73" t="s">
        <v>269</v>
      </c>
      <c r="C73" t="s">
        <v>291</v>
      </c>
      <c r="D73">
        <v>779</v>
      </c>
      <c r="E73" t="s">
        <v>586</v>
      </c>
      <c r="F73">
        <v>2</v>
      </c>
      <c r="G73">
        <v>2</v>
      </c>
      <c r="H73">
        <v>1929</v>
      </c>
      <c r="I73">
        <v>962910.3899999999</v>
      </c>
      <c r="J73">
        <v>1963</v>
      </c>
      <c r="K73">
        <v>490.53</v>
      </c>
      <c r="L73">
        <f t="shared" si="1"/>
        <v>2018</v>
      </c>
      <c r="M73" s="3">
        <v>43279</v>
      </c>
      <c r="N73" t="s">
        <v>568</v>
      </c>
      <c r="O73" t="s">
        <v>572</v>
      </c>
      <c r="P73" t="s">
        <v>588</v>
      </c>
      <c r="Q73">
        <v>57</v>
      </c>
      <c r="R73">
        <v>962910.3899999999</v>
      </c>
      <c r="S73">
        <v>-104.928</v>
      </c>
      <c r="T73">
        <v>39.780999999999999</v>
      </c>
    </row>
    <row r="74" spans="1:20" x14ac:dyDescent="0.3">
      <c r="A74" t="s">
        <v>89</v>
      </c>
      <c r="B74" t="s">
        <v>270</v>
      </c>
      <c r="C74" t="s">
        <v>314</v>
      </c>
      <c r="D74">
        <v>519</v>
      </c>
      <c r="E74" t="s">
        <v>586</v>
      </c>
      <c r="F74">
        <v>2</v>
      </c>
      <c r="G74">
        <v>3</v>
      </c>
      <c r="H74">
        <v>1975</v>
      </c>
      <c r="I74">
        <v>855068.63</v>
      </c>
      <c r="J74">
        <v>1607</v>
      </c>
      <c r="K74">
        <v>532.09</v>
      </c>
      <c r="L74">
        <f t="shared" si="1"/>
        <v>2019</v>
      </c>
      <c r="M74" s="3">
        <v>43512</v>
      </c>
      <c r="N74" t="s">
        <v>569</v>
      </c>
      <c r="O74" t="s">
        <v>573</v>
      </c>
      <c r="P74" t="s">
        <v>581</v>
      </c>
      <c r="Q74">
        <v>20</v>
      </c>
      <c r="R74">
        <v>855068.63</v>
      </c>
      <c r="S74">
        <v>-74.106999999999999</v>
      </c>
      <c r="T74">
        <v>40.792000000000002</v>
      </c>
    </row>
    <row r="75" spans="1:20" x14ac:dyDescent="0.3">
      <c r="A75" t="s">
        <v>90</v>
      </c>
      <c r="B75" t="s">
        <v>267</v>
      </c>
      <c r="C75" t="s">
        <v>590</v>
      </c>
      <c r="D75">
        <v>741</v>
      </c>
      <c r="E75" t="s">
        <v>582</v>
      </c>
      <c r="F75">
        <v>3</v>
      </c>
      <c r="G75">
        <v>3</v>
      </c>
      <c r="H75">
        <v>1988</v>
      </c>
      <c r="I75">
        <v>1199602</v>
      </c>
      <c r="J75">
        <v>2120</v>
      </c>
      <c r="K75">
        <v>565.85</v>
      </c>
      <c r="L75">
        <f t="shared" si="1"/>
        <v>2018</v>
      </c>
      <c r="M75" s="3">
        <v>43429</v>
      </c>
      <c r="N75" t="s">
        <v>568</v>
      </c>
      <c r="O75" t="s">
        <v>572</v>
      </c>
      <c r="P75" t="s">
        <v>584</v>
      </c>
      <c r="Q75">
        <v>21</v>
      </c>
      <c r="R75" t="s">
        <v>585</v>
      </c>
      <c r="S75">
        <v>-122.354</v>
      </c>
      <c r="T75">
        <v>37.841999999999999</v>
      </c>
    </row>
    <row r="76" spans="1:20" x14ac:dyDescent="0.3">
      <c r="A76" t="s">
        <v>91</v>
      </c>
      <c r="B76" t="s">
        <v>273</v>
      </c>
      <c r="C76" t="s">
        <v>315</v>
      </c>
      <c r="D76">
        <v>554</v>
      </c>
      <c r="E76" t="s">
        <v>586</v>
      </c>
      <c r="F76">
        <v>5</v>
      </c>
      <c r="G76">
        <v>5</v>
      </c>
      <c r="H76">
        <v>1980</v>
      </c>
      <c r="I76">
        <v>1851262.48</v>
      </c>
      <c r="J76">
        <v>2872</v>
      </c>
      <c r="K76">
        <v>644.59</v>
      </c>
      <c r="L76">
        <f t="shared" si="1"/>
        <v>2020</v>
      </c>
      <c r="M76" s="3">
        <v>44032</v>
      </c>
      <c r="N76" t="s">
        <v>566</v>
      </c>
      <c r="O76" t="s">
        <v>571</v>
      </c>
      <c r="P76" t="s">
        <v>591</v>
      </c>
      <c r="Q76">
        <v>20</v>
      </c>
      <c r="R76" t="s">
        <v>585</v>
      </c>
      <c r="S76">
        <v>-122.65300000000001</v>
      </c>
      <c r="T76">
        <v>45.44</v>
      </c>
    </row>
    <row r="77" spans="1:20" x14ac:dyDescent="0.3">
      <c r="A77" t="s">
        <v>92</v>
      </c>
      <c r="B77" t="s">
        <v>271</v>
      </c>
      <c r="C77" t="s">
        <v>283</v>
      </c>
      <c r="D77">
        <v>911</v>
      </c>
      <c r="E77" t="s">
        <v>586</v>
      </c>
      <c r="F77">
        <v>1</v>
      </c>
      <c r="G77">
        <v>1</v>
      </c>
      <c r="H77">
        <v>1907</v>
      </c>
      <c r="I77">
        <v>766496.32</v>
      </c>
      <c r="J77">
        <v>1772</v>
      </c>
      <c r="K77">
        <v>432.56</v>
      </c>
      <c r="L77">
        <f t="shared" si="1"/>
        <v>2022</v>
      </c>
      <c r="M77" s="3">
        <v>44569</v>
      </c>
      <c r="N77" t="s">
        <v>568</v>
      </c>
      <c r="O77" t="s">
        <v>571</v>
      </c>
      <c r="P77" t="s">
        <v>589</v>
      </c>
      <c r="Q77">
        <v>2</v>
      </c>
      <c r="R77">
        <v>766496.32</v>
      </c>
      <c r="S77">
        <v>-71.078000000000003</v>
      </c>
      <c r="T77">
        <v>42.308999999999997</v>
      </c>
    </row>
    <row r="78" spans="1:20" x14ac:dyDescent="0.3">
      <c r="A78" t="s">
        <v>93</v>
      </c>
      <c r="B78" t="s">
        <v>275</v>
      </c>
      <c r="C78" t="s">
        <v>295</v>
      </c>
      <c r="D78">
        <v>782</v>
      </c>
      <c r="E78" t="s">
        <v>583</v>
      </c>
      <c r="F78">
        <v>1</v>
      </c>
      <c r="G78">
        <v>1</v>
      </c>
      <c r="H78">
        <v>1948</v>
      </c>
      <c r="I78">
        <v>546643.01</v>
      </c>
      <c r="J78">
        <v>1321</v>
      </c>
      <c r="K78">
        <v>413.81</v>
      </c>
      <c r="L78">
        <f t="shared" si="1"/>
        <v>2023</v>
      </c>
      <c r="M78" s="3">
        <v>45139</v>
      </c>
      <c r="N78" t="s">
        <v>570</v>
      </c>
      <c r="O78" t="s">
        <v>573</v>
      </c>
      <c r="P78" t="s">
        <v>584</v>
      </c>
      <c r="Q78">
        <v>13</v>
      </c>
      <c r="R78">
        <v>546643.01</v>
      </c>
      <c r="S78">
        <v>-97.789000000000001</v>
      </c>
      <c r="T78">
        <v>30.262</v>
      </c>
    </row>
    <row r="79" spans="1:20" x14ac:dyDescent="0.3">
      <c r="A79" t="s">
        <v>94</v>
      </c>
      <c r="B79" t="s">
        <v>270</v>
      </c>
      <c r="C79" t="s">
        <v>310</v>
      </c>
      <c r="D79">
        <v>303</v>
      </c>
      <c r="E79" t="s">
        <v>582</v>
      </c>
      <c r="F79">
        <v>5</v>
      </c>
      <c r="G79">
        <v>5</v>
      </c>
      <c r="H79">
        <v>1956</v>
      </c>
      <c r="I79">
        <v>1908411.84</v>
      </c>
      <c r="J79">
        <v>2754</v>
      </c>
      <c r="K79">
        <v>692.96</v>
      </c>
      <c r="L79">
        <f t="shared" si="1"/>
        <v>2024</v>
      </c>
      <c r="M79" s="3">
        <v>45507</v>
      </c>
      <c r="N79" t="s">
        <v>568</v>
      </c>
      <c r="O79" t="s">
        <v>571</v>
      </c>
      <c r="P79" t="s">
        <v>584</v>
      </c>
      <c r="Q79">
        <v>15</v>
      </c>
      <c r="R79" t="s">
        <v>585</v>
      </c>
      <c r="S79">
        <v>-74.06</v>
      </c>
      <c r="T79">
        <v>40.695</v>
      </c>
    </row>
    <row r="80" spans="1:20" x14ac:dyDescent="0.3">
      <c r="A80" t="s">
        <v>95</v>
      </c>
      <c r="B80" t="s">
        <v>270</v>
      </c>
      <c r="C80" t="s">
        <v>314</v>
      </c>
      <c r="D80">
        <v>679</v>
      </c>
      <c r="E80" t="s">
        <v>583</v>
      </c>
      <c r="F80">
        <v>2</v>
      </c>
      <c r="G80">
        <v>2</v>
      </c>
      <c r="H80">
        <v>1945</v>
      </c>
      <c r="I80">
        <v>1337500.1599999999</v>
      </c>
      <c r="J80">
        <v>2336</v>
      </c>
      <c r="K80">
        <v>572.55999999999995</v>
      </c>
      <c r="L80">
        <f t="shared" si="1"/>
        <v>2021</v>
      </c>
      <c r="M80" s="3">
        <v>44312</v>
      </c>
      <c r="N80" t="s">
        <v>568</v>
      </c>
      <c r="O80" t="s">
        <v>573</v>
      </c>
      <c r="P80" t="s">
        <v>591</v>
      </c>
      <c r="Q80">
        <v>25</v>
      </c>
      <c r="R80" t="s">
        <v>585</v>
      </c>
      <c r="S80">
        <v>-74.031000000000006</v>
      </c>
      <c r="T80">
        <v>40.776000000000003</v>
      </c>
    </row>
    <row r="81" spans="1:20" x14ac:dyDescent="0.3">
      <c r="A81" t="s">
        <v>96</v>
      </c>
      <c r="B81" t="s">
        <v>274</v>
      </c>
      <c r="C81" t="s">
        <v>292</v>
      </c>
      <c r="D81">
        <v>885</v>
      </c>
      <c r="E81" t="s">
        <v>586</v>
      </c>
      <c r="F81">
        <v>3</v>
      </c>
      <c r="G81">
        <v>2</v>
      </c>
      <c r="H81">
        <v>1929</v>
      </c>
      <c r="I81">
        <v>1316561.8700000001</v>
      </c>
      <c r="J81">
        <v>2147</v>
      </c>
      <c r="K81">
        <v>613.21</v>
      </c>
      <c r="L81">
        <f t="shared" si="1"/>
        <v>2021</v>
      </c>
      <c r="M81" s="3">
        <v>44544</v>
      </c>
      <c r="N81" t="s">
        <v>567</v>
      </c>
      <c r="O81" t="s">
        <v>571</v>
      </c>
      <c r="P81" t="s">
        <v>589</v>
      </c>
      <c r="Q81">
        <v>60</v>
      </c>
      <c r="R81" t="s">
        <v>585</v>
      </c>
      <c r="S81">
        <v>-118.20399999999999</v>
      </c>
      <c r="T81">
        <v>34.073999999999998</v>
      </c>
    </row>
    <row r="82" spans="1:20" x14ac:dyDescent="0.3">
      <c r="A82" t="s">
        <v>97</v>
      </c>
      <c r="B82" t="s">
        <v>267</v>
      </c>
      <c r="C82" t="s">
        <v>278</v>
      </c>
      <c r="D82">
        <v>305</v>
      </c>
      <c r="E82" t="s">
        <v>586</v>
      </c>
      <c r="F82">
        <v>3</v>
      </c>
      <c r="G82">
        <v>2</v>
      </c>
      <c r="H82">
        <v>1904</v>
      </c>
      <c r="I82">
        <v>902403.9</v>
      </c>
      <c r="J82">
        <v>1902</v>
      </c>
      <c r="K82">
        <v>474.45</v>
      </c>
      <c r="L82">
        <f t="shared" si="1"/>
        <v>2022</v>
      </c>
      <c r="M82" s="3">
        <v>44595</v>
      </c>
      <c r="N82" t="s">
        <v>567</v>
      </c>
      <c r="O82" t="s">
        <v>573</v>
      </c>
      <c r="P82" t="s">
        <v>581</v>
      </c>
      <c r="Q82">
        <v>50</v>
      </c>
      <c r="R82">
        <v>902403.9</v>
      </c>
      <c r="S82">
        <v>-122.28100000000001</v>
      </c>
      <c r="T82">
        <v>37.728999999999999</v>
      </c>
    </row>
    <row r="83" spans="1:20" x14ac:dyDescent="0.3">
      <c r="A83" t="s">
        <v>98</v>
      </c>
      <c r="B83" t="s">
        <v>273</v>
      </c>
      <c r="C83" t="s">
        <v>286</v>
      </c>
      <c r="D83">
        <v>579</v>
      </c>
      <c r="E83" t="s">
        <v>583</v>
      </c>
      <c r="F83">
        <v>5</v>
      </c>
      <c r="G83">
        <v>5</v>
      </c>
      <c r="H83">
        <v>1934</v>
      </c>
      <c r="I83">
        <v>1921177.4400000002</v>
      </c>
      <c r="J83">
        <v>2916</v>
      </c>
      <c r="K83">
        <v>658.84</v>
      </c>
      <c r="L83">
        <f t="shared" si="1"/>
        <v>2020</v>
      </c>
      <c r="M83" s="3">
        <v>44153</v>
      </c>
      <c r="N83" t="s">
        <v>569</v>
      </c>
      <c r="O83" t="s">
        <v>574</v>
      </c>
      <c r="P83" t="s">
        <v>591</v>
      </c>
      <c r="Q83">
        <v>24</v>
      </c>
      <c r="R83" t="s">
        <v>585</v>
      </c>
      <c r="S83">
        <v>-122.60599999999999</v>
      </c>
      <c r="T83">
        <v>45.478999999999999</v>
      </c>
    </row>
    <row r="84" spans="1:20" x14ac:dyDescent="0.3">
      <c r="A84" t="s">
        <v>99</v>
      </c>
      <c r="B84" t="s">
        <v>275</v>
      </c>
      <c r="C84" t="s">
        <v>295</v>
      </c>
      <c r="D84">
        <v>477</v>
      </c>
      <c r="E84" t="s">
        <v>587</v>
      </c>
      <c r="F84">
        <v>4</v>
      </c>
      <c r="G84">
        <v>3</v>
      </c>
      <c r="H84">
        <v>2002</v>
      </c>
      <c r="I84">
        <v>1188948.44</v>
      </c>
      <c r="J84">
        <v>2281</v>
      </c>
      <c r="K84">
        <v>521.24</v>
      </c>
      <c r="L84">
        <f t="shared" si="1"/>
        <v>2022</v>
      </c>
      <c r="M84" s="3">
        <v>44599</v>
      </c>
      <c r="N84" t="s">
        <v>566</v>
      </c>
      <c r="O84" t="s">
        <v>572</v>
      </c>
      <c r="P84" t="s">
        <v>588</v>
      </c>
      <c r="Q84">
        <v>87</v>
      </c>
      <c r="R84" t="s">
        <v>585</v>
      </c>
      <c r="S84">
        <v>-97.733000000000004</v>
      </c>
      <c r="T84">
        <v>30.172999999999998</v>
      </c>
    </row>
    <row r="85" spans="1:20" x14ac:dyDescent="0.3">
      <c r="A85" t="s">
        <v>100</v>
      </c>
      <c r="B85" t="s">
        <v>274</v>
      </c>
      <c r="C85" t="s">
        <v>292</v>
      </c>
      <c r="D85">
        <v>763</v>
      </c>
      <c r="E85" t="s">
        <v>583</v>
      </c>
      <c r="F85">
        <v>3</v>
      </c>
      <c r="G85">
        <v>3</v>
      </c>
      <c r="H85">
        <v>1929</v>
      </c>
      <c r="I85">
        <v>1287474.9500000002</v>
      </c>
      <c r="J85">
        <v>2201</v>
      </c>
      <c r="K85">
        <v>584.95000000000005</v>
      </c>
      <c r="L85">
        <f t="shared" si="1"/>
        <v>2018</v>
      </c>
      <c r="M85" s="3">
        <v>43203</v>
      </c>
      <c r="N85" t="s">
        <v>570</v>
      </c>
      <c r="O85" t="s">
        <v>572</v>
      </c>
      <c r="P85" t="s">
        <v>581</v>
      </c>
      <c r="Q85">
        <v>62</v>
      </c>
      <c r="R85" t="s">
        <v>585</v>
      </c>
      <c r="S85">
        <v>-118.157</v>
      </c>
      <c r="T85">
        <v>34.061999999999998</v>
      </c>
    </row>
    <row r="86" spans="1:20" x14ac:dyDescent="0.3">
      <c r="A86" t="s">
        <v>101</v>
      </c>
      <c r="B86" t="s">
        <v>270</v>
      </c>
      <c r="C86" t="s">
        <v>310</v>
      </c>
      <c r="D86">
        <v>564</v>
      </c>
      <c r="E86" t="s">
        <v>587</v>
      </c>
      <c r="F86">
        <v>4</v>
      </c>
      <c r="G86">
        <v>4</v>
      </c>
      <c r="H86">
        <v>1905</v>
      </c>
      <c r="I86">
        <v>1978454.31</v>
      </c>
      <c r="J86">
        <v>2931</v>
      </c>
      <c r="K86">
        <v>675.01</v>
      </c>
      <c r="L86">
        <f t="shared" si="1"/>
        <v>2021</v>
      </c>
      <c r="M86" s="3">
        <v>44347</v>
      </c>
      <c r="N86" t="s">
        <v>569</v>
      </c>
      <c r="O86" t="s">
        <v>573</v>
      </c>
      <c r="P86" t="s">
        <v>588</v>
      </c>
      <c r="Q86">
        <v>10</v>
      </c>
      <c r="R86" t="s">
        <v>585</v>
      </c>
      <c r="S86">
        <v>-74.001999999999995</v>
      </c>
      <c r="T86">
        <v>40.656999999999996</v>
      </c>
    </row>
    <row r="87" spans="1:20" x14ac:dyDescent="0.3">
      <c r="A87" t="s">
        <v>102</v>
      </c>
      <c r="B87" t="s">
        <v>273</v>
      </c>
      <c r="C87" t="s">
        <v>285</v>
      </c>
      <c r="D87">
        <v>479</v>
      </c>
      <c r="E87" t="s">
        <v>586</v>
      </c>
      <c r="F87">
        <v>5</v>
      </c>
      <c r="G87">
        <v>4</v>
      </c>
      <c r="H87">
        <v>1919</v>
      </c>
      <c r="I87">
        <v>1969814.41</v>
      </c>
      <c r="J87">
        <v>2579</v>
      </c>
      <c r="K87">
        <v>763.79</v>
      </c>
      <c r="L87">
        <f t="shared" si="1"/>
        <v>2019</v>
      </c>
      <c r="M87" s="3">
        <v>43506</v>
      </c>
      <c r="N87" t="s">
        <v>569</v>
      </c>
      <c r="O87" t="s">
        <v>571</v>
      </c>
      <c r="P87" t="s">
        <v>589</v>
      </c>
      <c r="Q87">
        <v>13</v>
      </c>
      <c r="R87" t="s">
        <v>585</v>
      </c>
      <c r="S87">
        <v>-122.724</v>
      </c>
      <c r="T87">
        <v>45.607999999999997</v>
      </c>
    </row>
    <row r="88" spans="1:20" x14ac:dyDescent="0.3">
      <c r="A88" t="s">
        <v>103</v>
      </c>
      <c r="B88" t="s">
        <v>270</v>
      </c>
      <c r="C88" t="s">
        <v>310</v>
      </c>
      <c r="D88">
        <v>193</v>
      </c>
      <c r="E88" t="s">
        <v>586</v>
      </c>
      <c r="F88">
        <v>2</v>
      </c>
      <c r="G88">
        <v>1</v>
      </c>
      <c r="H88">
        <v>1912</v>
      </c>
      <c r="I88">
        <v>1095251.43</v>
      </c>
      <c r="J88">
        <v>1911</v>
      </c>
      <c r="K88">
        <v>573.13</v>
      </c>
      <c r="L88">
        <f t="shared" si="1"/>
        <v>2024</v>
      </c>
      <c r="M88" s="3">
        <v>45331</v>
      </c>
      <c r="N88" t="s">
        <v>568</v>
      </c>
      <c r="O88" t="s">
        <v>573</v>
      </c>
      <c r="P88" t="s">
        <v>588</v>
      </c>
      <c r="Q88">
        <v>7</v>
      </c>
      <c r="R88">
        <v>1095251.43</v>
      </c>
      <c r="S88">
        <v>-73.915999999999997</v>
      </c>
      <c r="T88">
        <v>40.664999999999999</v>
      </c>
    </row>
    <row r="89" spans="1:20" x14ac:dyDescent="0.3">
      <c r="A89" t="s">
        <v>104</v>
      </c>
      <c r="B89" t="s">
        <v>274</v>
      </c>
      <c r="C89" t="s">
        <v>297</v>
      </c>
      <c r="D89">
        <v>932</v>
      </c>
      <c r="E89" t="s">
        <v>586</v>
      </c>
      <c r="F89">
        <v>1</v>
      </c>
      <c r="G89">
        <v>1</v>
      </c>
      <c r="H89">
        <v>1931</v>
      </c>
      <c r="I89">
        <v>582253.64999999991</v>
      </c>
      <c r="J89">
        <v>1485</v>
      </c>
      <c r="K89">
        <v>392.09</v>
      </c>
      <c r="L89">
        <f t="shared" si="1"/>
        <v>2024</v>
      </c>
      <c r="M89" s="3">
        <v>45413</v>
      </c>
      <c r="N89" t="s">
        <v>567</v>
      </c>
      <c r="O89" t="s">
        <v>573</v>
      </c>
      <c r="P89" t="s">
        <v>581</v>
      </c>
      <c r="Q89">
        <v>4</v>
      </c>
      <c r="R89">
        <v>582253.64999999991</v>
      </c>
      <c r="S89">
        <v>-118.29900000000001</v>
      </c>
      <c r="T89">
        <v>34.103000000000002</v>
      </c>
    </row>
    <row r="90" spans="1:20" x14ac:dyDescent="0.3">
      <c r="A90" t="s">
        <v>105</v>
      </c>
      <c r="B90" t="s">
        <v>269</v>
      </c>
      <c r="C90" t="s">
        <v>291</v>
      </c>
      <c r="D90">
        <v>234</v>
      </c>
      <c r="E90" t="s">
        <v>583</v>
      </c>
      <c r="F90">
        <v>5</v>
      </c>
      <c r="G90">
        <v>5</v>
      </c>
      <c r="H90">
        <v>2009</v>
      </c>
      <c r="I90">
        <v>1571678.3699999999</v>
      </c>
      <c r="J90">
        <v>2637</v>
      </c>
      <c r="K90">
        <v>596.01</v>
      </c>
      <c r="L90">
        <f t="shared" si="1"/>
        <v>2019</v>
      </c>
      <c r="M90" s="3">
        <v>43633</v>
      </c>
      <c r="N90" t="s">
        <v>570</v>
      </c>
      <c r="O90" t="s">
        <v>571</v>
      </c>
      <c r="P90" t="s">
        <v>591</v>
      </c>
      <c r="Q90">
        <v>83</v>
      </c>
      <c r="R90" t="s">
        <v>585</v>
      </c>
      <c r="S90">
        <v>-104.958</v>
      </c>
      <c r="T90">
        <v>39.674999999999997</v>
      </c>
    </row>
    <row r="91" spans="1:20" x14ac:dyDescent="0.3">
      <c r="A91" t="s">
        <v>106</v>
      </c>
      <c r="B91" t="s">
        <v>269</v>
      </c>
      <c r="C91" t="s">
        <v>291</v>
      </c>
      <c r="D91">
        <v>559</v>
      </c>
      <c r="E91" t="s">
        <v>587</v>
      </c>
      <c r="F91">
        <v>5</v>
      </c>
      <c r="G91">
        <v>5</v>
      </c>
      <c r="H91">
        <v>1922</v>
      </c>
      <c r="I91">
        <v>1477544.38</v>
      </c>
      <c r="J91">
        <v>2342</v>
      </c>
      <c r="K91">
        <v>630.89</v>
      </c>
      <c r="L91">
        <f t="shared" si="1"/>
        <v>2018</v>
      </c>
      <c r="M91" s="3">
        <v>43315</v>
      </c>
      <c r="N91" t="s">
        <v>567</v>
      </c>
      <c r="O91" t="s">
        <v>572</v>
      </c>
      <c r="P91" t="s">
        <v>588</v>
      </c>
      <c r="Q91">
        <v>38</v>
      </c>
      <c r="R91" t="s">
        <v>585</v>
      </c>
      <c r="S91">
        <v>-104.941</v>
      </c>
      <c r="T91">
        <v>39.744999999999997</v>
      </c>
    </row>
    <row r="92" spans="1:20" x14ac:dyDescent="0.3">
      <c r="A92" t="s">
        <v>107</v>
      </c>
      <c r="B92" t="s">
        <v>273</v>
      </c>
      <c r="C92" t="s">
        <v>315</v>
      </c>
      <c r="D92">
        <v>967</v>
      </c>
      <c r="E92" t="s">
        <v>582</v>
      </c>
      <c r="F92">
        <v>1</v>
      </c>
      <c r="G92">
        <v>1</v>
      </c>
      <c r="H92">
        <v>1928</v>
      </c>
      <c r="I92">
        <v>825412.2</v>
      </c>
      <c r="J92">
        <v>1860</v>
      </c>
      <c r="K92">
        <v>443.77</v>
      </c>
      <c r="L92">
        <f t="shared" si="1"/>
        <v>2023</v>
      </c>
      <c r="M92" s="3">
        <v>45236</v>
      </c>
      <c r="N92" t="s">
        <v>568</v>
      </c>
      <c r="O92" t="s">
        <v>571</v>
      </c>
      <c r="P92" t="s">
        <v>588</v>
      </c>
      <c r="Q92">
        <v>69</v>
      </c>
      <c r="R92">
        <v>825412.2</v>
      </c>
      <c r="S92">
        <v>-122.768</v>
      </c>
      <c r="T92">
        <v>45.613</v>
      </c>
    </row>
    <row r="93" spans="1:20" x14ac:dyDescent="0.3">
      <c r="A93" t="s">
        <v>108</v>
      </c>
      <c r="B93" t="s">
        <v>272</v>
      </c>
      <c r="C93" t="s">
        <v>294</v>
      </c>
      <c r="D93">
        <v>699</v>
      </c>
      <c r="E93" t="s">
        <v>580</v>
      </c>
      <c r="F93">
        <v>4</v>
      </c>
      <c r="G93">
        <v>3</v>
      </c>
      <c r="H93">
        <v>1956</v>
      </c>
      <c r="I93">
        <v>1380956.0399999998</v>
      </c>
      <c r="J93">
        <v>2403</v>
      </c>
      <c r="K93">
        <v>574.67999999999995</v>
      </c>
      <c r="L93">
        <f t="shared" si="1"/>
        <v>2018</v>
      </c>
      <c r="M93" s="3">
        <v>43431</v>
      </c>
      <c r="N93" t="s">
        <v>568</v>
      </c>
      <c r="O93" t="s">
        <v>571</v>
      </c>
      <c r="P93" t="s">
        <v>589</v>
      </c>
      <c r="Q93">
        <v>48</v>
      </c>
      <c r="R93" t="s">
        <v>585</v>
      </c>
      <c r="S93">
        <v>-80.234999999999999</v>
      </c>
      <c r="T93">
        <v>25.672999999999998</v>
      </c>
    </row>
    <row r="94" spans="1:20" x14ac:dyDescent="0.3">
      <c r="A94" t="s">
        <v>109</v>
      </c>
      <c r="B94" t="s">
        <v>269</v>
      </c>
      <c r="C94" t="s">
        <v>288</v>
      </c>
      <c r="D94">
        <v>998</v>
      </c>
      <c r="E94" t="s">
        <v>580</v>
      </c>
      <c r="F94">
        <v>5</v>
      </c>
      <c r="G94">
        <v>5</v>
      </c>
      <c r="H94">
        <v>1958</v>
      </c>
      <c r="I94">
        <v>1734617.5</v>
      </c>
      <c r="J94">
        <v>2750</v>
      </c>
      <c r="K94">
        <v>630.77</v>
      </c>
      <c r="L94">
        <f t="shared" si="1"/>
        <v>2024</v>
      </c>
      <c r="M94" s="3">
        <v>45580</v>
      </c>
      <c r="N94" t="s">
        <v>569</v>
      </c>
      <c r="O94" t="s">
        <v>573</v>
      </c>
      <c r="P94" t="s">
        <v>589</v>
      </c>
      <c r="Q94">
        <v>37</v>
      </c>
      <c r="R94" t="s">
        <v>585</v>
      </c>
      <c r="S94">
        <v>-104.919</v>
      </c>
      <c r="T94">
        <v>39.78</v>
      </c>
    </row>
    <row r="95" spans="1:20" x14ac:dyDescent="0.3">
      <c r="A95" t="s">
        <v>110</v>
      </c>
      <c r="B95" t="s">
        <v>276</v>
      </c>
      <c r="C95" t="s">
        <v>301</v>
      </c>
      <c r="D95">
        <v>361</v>
      </c>
      <c r="E95" t="s">
        <v>587</v>
      </c>
      <c r="F95">
        <v>4</v>
      </c>
      <c r="G95">
        <v>3</v>
      </c>
      <c r="H95">
        <v>1952</v>
      </c>
      <c r="I95">
        <v>1303971.8400000001</v>
      </c>
      <c r="J95">
        <v>2304</v>
      </c>
      <c r="K95">
        <v>565.96</v>
      </c>
      <c r="L95">
        <f t="shared" si="1"/>
        <v>2023</v>
      </c>
      <c r="M95" s="3">
        <v>44958</v>
      </c>
      <c r="N95" t="s">
        <v>569</v>
      </c>
      <c r="O95" t="s">
        <v>571</v>
      </c>
      <c r="P95" t="s">
        <v>589</v>
      </c>
      <c r="Q95">
        <v>54</v>
      </c>
      <c r="R95" t="s">
        <v>585</v>
      </c>
      <c r="S95">
        <v>-87.635000000000005</v>
      </c>
      <c r="T95">
        <v>41.798999999999999</v>
      </c>
    </row>
    <row r="96" spans="1:20" x14ac:dyDescent="0.3">
      <c r="A96" t="s">
        <v>111</v>
      </c>
      <c r="B96" t="s">
        <v>275</v>
      </c>
      <c r="C96" t="s">
        <v>316</v>
      </c>
      <c r="D96">
        <v>700</v>
      </c>
      <c r="E96" t="s">
        <v>580</v>
      </c>
      <c r="F96">
        <v>1</v>
      </c>
      <c r="G96">
        <v>3</v>
      </c>
      <c r="H96">
        <v>1910</v>
      </c>
      <c r="I96">
        <v>631093.96</v>
      </c>
      <c r="J96">
        <v>1897</v>
      </c>
      <c r="K96">
        <v>332.68</v>
      </c>
      <c r="L96">
        <f t="shared" si="1"/>
        <v>2022</v>
      </c>
      <c r="M96" s="3">
        <v>44869</v>
      </c>
      <c r="N96" t="s">
        <v>566</v>
      </c>
      <c r="O96" t="s">
        <v>572</v>
      </c>
      <c r="P96" t="s">
        <v>591</v>
      </c>
      <c r="Q96">
        <v>98</v>
      </c>
      <c r="R96">
        <v>631093.96</v>
      </c>
      <c r="S96">
        <v>-97.813999999999993</v>
      </c>
      <c r="T96">
        <v>30.245000000000001</v>
      </c>
    </row>
    <row r="97" spans="1:20" x14ac:dyDescent="0.3">
      <c r="A97" t="s">
        <v>112</v>
      </c>
      <c r="B97" t="s">
        <v>273</v>
      </c>
      <c r="C97" t="s">
        <v>286</v>
      </c>
      <c r="D97">
        <v>258</v>
      </c>
      <c r="E97" t="s">
        <v>582</v>
      </c>
      <c r="F97">
        <v>1</v>
      </c>
      <c r="G97">
        <v>1</v>
      </c>
      <c r="H97">
        <v>2011</v>
      </c>
      <c r="I97">
        <v>517769.56</v>
      </c>
      <c r="J97">
        <v>1012</v>
      </c>
      <c r="K97">
        <v>511.63</v>
      </c>
      <c r="L97">
        <f t="shared" si="1"/>
        <v>2018</v>
      </c>
      <c r="M97" s="3">
        <v>43311</v>
      </c>
      <c r="N97" t="s">
        <v>568</v>
      </c>
      <c r="O97" t="s">
        <v>571</v>
      </c>
      <c r="P97" t="s">
        <v>581</v>
      </c>
      <c r="Q97">
        <v>52</v>
      </c>
      <c r="R97">
        <v>517769.56</v>
      </c>
      <c r="S97">
        <v>-122.664</v>
      </c>
      <c r="T97">
        <v>45.49</v>
      </c>
    </row>
    <row r="98" spans="1:20" x14ac:dyDescent="0.3">
      <c r="A98" t="s">
        <v>113</v>
      </c>
      <c r="B98" t="s">
        <v>276</v>
      </c>
      <c r="C98" t="s">
        <v>307</v>
      </c>
      <c r="D98">
        <v>728</v>
      </c>
      <c r="E98" t="s">
        <v>580</v>
      </c>
      <c r="F98">
        <v>3</v>
      </c>
      <c r="G98">
        <v>2</v>
      </c>
      <c r="H98">
        <v>1947</v>
      </c>
      <c r="I98">
        <v>1039972.5</v>
      </c>
      <c r="J98">
        <v>2170</v>
      </c>
      <c r="K98">
        <v>479.25</v>
      </c>
      <c r="L98">
        <f t="shared" si="1"/>
        <v>2021</v>
      </c>
      <c r="M98" s="3">
        <v>44242</v>
      </c>
      <c r="N98" t="s">
        <v>570</v>
      </c>
      <c r="O98" t="s">
        <v>573</v>
      </c>
      <c r="P98" t="s">
        <v>577</v>
      </c>
      <c r="Q98">
        <v>28</v>
      </c>
      <c r="R98">
        <v>1039972.5</v>
      </c>
      <c r="S98">
        <v>-87.608000000000004</v>
      </c>
      <c r="T98">
        <v>41.866</v>
      </c>
    </row>
    <row r="99" spans="1:20" x14ac:dyDescent="0.3">
      <c r="A99" t="s">
        <v>114</v>
      </c>
      <c r="B99" t="s">
        <v>268</v>
      </c>
      <c r="C99" t="s">
        <v>279</v>
      </c>
      <c r="D99">
        <v>171</v>
      </c>
      <c r="E99" t="s">
        <v>586</v>
      </c>
      <c r="F99">
        <v>3</v>
      </c>
      <c r="G99">
        <v>3</v>
      </c>
      <c r="H99">
        <v>1934</v>
      </c>
      <c r="I99">
        <v>842459.01</v>
      </c>
      <c r="J99">
        <v>1977</v>
      </c>
      <c r="K99">
        <v>426.13</v>
      </c>
      <c r="L99">
        <f t="shared" si="1"/>
        <v>2024</v>
      </c>
      <c r="M99" s="3">
        <v>45411</v>
      </c>
      <c r="N99" t="s">
        <v>568</v>
      </c>
      <c r="O99" t="s">
        <v>573</v>
      </c>
      <c r="P99" t="s">
        <v>588</v>
      </c>
      <c r="Q99">
        <v>60</v>
      </c>
      <c r="R99">
        <v>842459.01</v>
      </c>
      <c r="S99">
        <v>-122.31699999999999</v>
      </c>
      <c r="T99">
        <v>47.673999999999999</v>
      </c>
    </row>
    <row r="100" spans="1:20" x14ac:dyDescent="0.3">
      <c r="A100" t="s">
        <v>115</v>
      </c>
      <c r="B100" t="s">
        <v>268</v>
      </c>
      <c r="C100" t="s">
        <v>291</v>
      </c>
      <c r="D100">
        <v>710</v>
      </c>
      <c r="E100" t="s">
        <v>583</v>
      </c>
      <c r="F100">
        <v>5</v>
      </c>
      <c r="G100">
        <v>5</v>
      </c>
      <c r="H100">
        <v>1953</v>
      </c>
      <c r="I100">
        <v>1465591.61</v>
      </c>
      <c r="J100">
        <v>2789</v>
      </c>
      <c r="K100">
        <v>525.49</v>
      </c>
      <c r="L100">
        <f t="shared" si="1"/>
        <v>2021</v>
      </c>
      <c r="M100" s="3">
        <v>44497</v>
      </c>
      <c r="N100" t="s">
        <v>567</v>
      </c>
      <c r="O100" t="s">
        <v>571</v>
      </c>
      <c r="P100" t="s">
        <v>577</v>
      </c>
      <c r="Q100">
        <v>61</v>
      </c>
      <c r="R100" t="s">
        <v>585</v>
      </c>
      <c r="S100">
        <v>-122.27500000000001</v>
      </c>
      <c r="T100">
        <v>47.643999999999998</v>
      </c>
    </row>
    <row r="101" spans="1:20" x14ac:dyDescent="0.3">
      <c r="A101" t="s">
        <v>116</v>
      </c>
      <c r="B101" t="s">
        <v>268</v>
      </c>
      <c r="C101" t="s">
        <v>282</v>
      </c>
      <c r="D101">
        <v>320</v>
      </c>
      <c r="E101" t="s">
        <v>580</v>
      </c>
      <c r="F101">
        <v>2</v>
      </c>
      <c r="G101">
        <v>1</v>
      </c>
      <c r="H101">
        <v>1906</v>
      </c>
      <c r="I101">
        <v>798081.63</v>
      </c>
      <c r="J101">
        <v>1877</v>
      </c>
      <c r="K101">
        <v>425.19</v>
      </c>
      <c r="L101">
        <f t="shared" si="1"/>
        <v>2021</v>
      </c>
      <c r="M101" s="3">
        <v>44215</v>
      </c>
      <c r="N101" t="s">
        <v>569</v>
      </c>
      <c r="O101" t="s">
        <v>571</v>
      </c>
      <c r="P101" t="s">
        <v>584</v>
      </c>
      <c r="Q101">
        <v>53</v>
      </c>
      <c r="R101">
        <v>798081.63</v>
      </c>
      <c r="S101">
        <v>-122.342</v>
      </c>
      <c r="T101">
        <v>47.597000000000001</v>
      </c>
    </row>
    <row r="102" spans="1:20" x14ac:dyDescent="0.3">
      <c r="A102" t="s">
        <v>117</v>
      </c>
      <c r="B102" t="s">
        <v>267</v>
      </c>
      <c r="C102" t="s">
        <v>285</v>
      </c>
      <c r="D102">
        <v>156</v>
      </c>
      <c r="E102" t="s">
        <v>583</v>
      </c>
      <c r="F102">
        <v>4</v>
      </c>
      <c r="G102">
        <v>4</v>
      </c>
      <c r="H102">
        <v>1986</v>
      </c>
      <c r="I102">
        <v>1110995.73</v>
      </c>
      <c r="J102">
        <v>2193</v>
      </c>
      <c r="K102">
        <v>506.61</v>
      </c>
      <c r="L102">
        <f t="shared" si="1"/>
        <v>2023</v>
      </c>
      <c r="M102" s="3">
        <v>45094</v>
      </c>
      <c r="N102" t="s">
        <v>570</v>
      </c>
      <c r="O102" t="s">
        <v>571</v>
      </c>
      <c r="P102" t="s">
        <v>577</v>
      </c>
      <c r="Q102">
        <v>57</v>
      </c>
      <c r="R102">
        <v>1110995.73</v>
      </c>
      <c r="S102">
        <v>-122.351</v>
      </c>
      <c r="T102">
        <v>37.679000000000002</v>
      </c>
    </row>
    <row r="103" spans="1:20" x14ac:dyDescent="0.3">
      <c r="A103" t="s">
        <v>118</v>
      </c>
      <c r="B103" t="s">
        <v>276</v>
      </c>
      <c r="C103" t="s">
        <v>317</v>
      </c>
      <c r="D103">
        <v>489</v>
      </c>
      <c r="E103" t="s">
        <v>580</v>
      </c>
      <c r="F103">
        <v>2</v>
      </c>
      <c r="G103">
        <v>1</v>
      </c>
      <c r="H103">
        <v>1997</v>
      </c>
      <c r="I103">
        <v>893165.49</v>
      </c>
      <c r="J103">
        <v>1953</v>
      </c>
      <c r="K103">
        <v>457.33</v>
      </c>
      <c r="L103">
        <f t="shared" si="1"/>
        <v>2021</v>
      </c>
      <c r="M103" s="3">
        <v>44286</v>
      </c>
      <c r="N103" t="s">
        <v>568</v>
      </c>
      <c r="O103" t="s">
        <v>573</v>
      </c>
      <c r="P103" t="s">
        <v>581</v>
      </c>
      <c r="Q103">
        <v>38</v>
      </c>
      <c r="R103">
        <v>893165.49</v>
      </c>
      <c r="S103">
        <v>-87.634</v>
      </c>
      <c r="T103">
        <v>41.878999999999998</v>
      </c>
    </row>
    <row r="104" spans="1:20" x14ac:dyDescent="0.3">
      <c r="A104" t="s">
        <v>119</v>
      </c>
      <c r="B104" t="s">
        <v>276</v>
      </c>
      <c r="C104" t="s">
        <v>318</v>
      </c>
      <c r="D104">
        <v>982</v>
      </c>
      <c r="E104" t="s">
        <v>587</v>
      </c>
      <c r="F104">
        <v>5</v>
      </c>
      <c r="G104">
        <v>4</v>
      </c>
      <c r="H104">
        <v>2003</v>
      </c>
      <c r="I104">
        <v>1772334.14</v>
      </c>
      <c r="J104">
        <v>3019</v>
      </c>
      <c r="K104">
        <v>587.05999999999995</v>
      </c>
      <c r="L104">
        <f t="shared" si="1"/>
        <v>2018</v>
      </c>
      <c r="M104" s="3">
        <v>43396</v>
      </c>
      <c r="N104" t="s">
        <v>569</v>
      </c>
      <c r="O104" t="s">
        <v>572</v>
      </c>
      <c r="P104" t="s">
        <v>591</v>
      </c>
      <c r="Q104">
        <v>51</v>
      </c>
      <c r="R104" t="s">
        <v>585</v>
      </c>
      <c r="S104">
        <v>-87.715999999999994</v>
      </c>
      <c r="T104">
        <v>41.787999999999997</v>
      </c>
    </row>
    <row r="105" spans="1:20" x14ac:dyDescent="0.3">
      <c r="A105" t="s">
        <v>120</v>
      </c>
      <c r="B105" t="s">
        <v>274</v>
      </c>
      <c r="C105" t="s">
        <v>292</v>
      </c>
      <c r="D105">
        <v>571</v>
      </c>
      <c r="E105" t="s">
        <v>587</v>
      </c>
      <c r="F105">
        <v>5</v>
      </c>
      <c r="G105">
        <v>5</v>
      </c>
      <c r="H105">
        <v>1981</v>
      </c>
      <c r="I105">
        <v>1917293.22</v>
      </c>
      <c r="J105">
        <v>2649</v>
      </c>
      <c r="K105">
        <v>723.78</v>
      </c>
      <c r="L105">
        <f t="shared" si="1"/>
        <v>2021</v>
      </c>
      <c r="M105" s="3">
        <v>44286</v>
      </c>
      <c r="N105" t="s">
        <v>566</v>
      </c>
      <c r="O105" t="s">
        <v>571</v>
      </c>
      <c r="P105" t="s">
        <v>577</v>
      </c>
      <c r="Q105">
        <v>67</v>
      </c>
      <c r="R105" t="s">
        <v>585</v>
      </c>
      <c r="S105">
        <v>-118.306</v>
      </c>
      <c r="T105">
        <v>34.143000000000001</v>
      </c>
    </row>
    <row r="106" spans="1:20" x14ac:dyDescent="0.3">
      <c r="A106" t="s">
        <v>121</v>
      </c>
      <c r="B106" t="s">
        <v>267</v>
      </c>
      <c r="C106" t="s">
        <v>590</v>
      </c>
      <c r="D106">
        <v>897</v>
      </c>
      <c r="E106" t="s">
        <v>586</v>
      </c>
      <c r="F106">
        <v>1</v>
      </c>
      <c r="G106">
        <v>1</v>
      </c>
      <c r="H106">
        <v>1975</v>
      </c>
      <c r="I106">
        <v>693761.96000000008</v>
      </c>
      <c r="J106">
        <v>1706</v>
      </c>
      <c r="K106">
        <v>406.66</v>
      </c>
      <c r="L106">
        <f t="shared" si="1"/>
        <v>2023</v>
      </c>
      <c r="M106" s="3">
        <v>45247</v>
      </c>
      <c r="N106" t="s">
        <v>566</v>
      </c>
      <c r="O106" t="s">
        <v>571</v>
      </c>
      <c r="P106" t="s">
        <v>584</v>
      </c>
      <c r="Q106">
        <v>74</v>
      </c>
      <c r="R106">
        <v>693761.96000000008</v>
      </c>
      <c r="S106">
        <v>-122.36199999999999</v>
      </c>
      <c r="T106">
        <v>37.731999999999999</v>
      </c>
    </row>
    <row r="107" spans="1:20" x14ac:dyDescent="0.3">
      <c r="A107" t="s">
        <v>122</v>
      </c>
      <c r="B107" t="s">
        <v>267</v>
      </c>
      <c r="C107" t="s">
        <v>286</v>
      </c>
      <c r="D107">
        <v>256</v>
      </c>
      <c r="E107" t="s">
        <v>583</v>
      </c>
      <c r="F107">
        <v>1</v>
      </c>
      <c r="G107">
        <v>1</v>
      </c>
      <c r="H107">
        <v>1924</v>
      </c>
      <c r="I107">
        <v>600374.6</v>
      </c>
      <c r="J107">
        <v>1505</v>
      </c>
      <c r="K107">
        <v>398.92</v>
      </c>
      <c r="L107">
        <f t="shared" si="1"/>
        <v>2021</v>
      </c>
      <c r="M107" s="3">
        <v>44539</v>
      </c>
      <c r="N107" t="s">
        <v>567</v>
      </c>
      <c r="O107" t="s">
        <v>573</v>
      </c>
      <c r="P107" t="s">
        <v>577</v>
      </c>
      <c r="Q107">
        <v>25</v>
      </c>
      <c r="R107">
        <v>600374.6</v>
      </c>
      <c r="S107">
        <v>-122.39100000000001</v>
      </c>
      <c r="T107">
        <v>37.698999999999998</v>
      </c>
    </row>
    <row r="108" spans="1:20" x14ac:dyDescent="0.3">
      <c r="A108" t="s">
        <v>123</v>
      </c>
      <c r="B108" t="s">
        <v>275</v>
      </c>
      <c r="C108" t="s">
        <v>316</v>
      </c>
      <c r="D108">
        <v>423</v>
      </c>
      <c r="E108" t="s">
        <v>586</v>
      </c>
      <c r="F108">
        <v>4</v>
      </c>
      <c r="G108">
        <v>3</v>
      </c>
      <c r="H108">
        <v>1997</v>
      </c>
      <c r="I108">
        <v>1345322.25</v>
      </c>
      <c r="J108">
        <v>2481</v>
      </c>
      <c r="K108">
        <v>542.25</v>
      </c>
      <c r="L108">
        <f t="shared" si="1"/>
        <v>2023</v>
      </c>
      <c r="M108" s="3">
        <v>44939</v>
      </c>
      <c r="N108" t="s">
        <v>570</v>
      </c>
      <c r="O108" t="s">
        <v>571</v>
      </c>
      <c r="P108" t="s">
        <v>589</v>
      </c>
      <c r="Q108">
        <v>37</v>
      </c>
      <c r="R108" t="s">
        <v>585</v>
      </c>
      <c r="S108">
        <v>-97.775000000000006</v>
      </c>
      <c r="T108">
        <v>30.367000000000001</v>
      </c>
    </row>
    <row r="109" spans="1:20" x14ac:dyDescent="0.3">
      <c r="A109" t="s">
        <v>124</v>
      </c>
      <c r="B109" t="s">
        <v>270</v>
      </c>
      <c r="C109" t="s">
        <v>314</v>
      </c>
      <c r="D109">
        <v>158</v>
      </c>
      <c r="E109" t="s">
        <v>587</v>
      </c>
      <c r="F109">
        <v>4</v>
      </c>
      <c r="G109">
        <v>4</v>
      </c>
      <c r="H109">
        <v>1938</v>
      </c>
      <c r="I109">
        <v>1545254.78</v>
      </c>
      <c r="J109">
        <v>2549</v>
      </c>
      <c r="K109">
        <v>606.22</v>
      </c>
      <c r="L109">
        <f t="shared" si="1"/>
        <v>2024</v>
      </c>
      <c r="M109" s="3">
        <v>45523</v>
      </c>
      <c r="N109" t="s">
        <v>566</v>
      </c>
      <c r="O109" t="s">
        <v>571</v>
      </c>
      <c r="P109" t="s">
        <v>591</v>
      </c>
      <c r="Q109">
        <v>97</v>
      </c>
      <c r="R109" t="s">
        <v>585</v>
      </c>
      <c r="S109">
        <v>-74.018000000000001</v>
      </c>
      <c r="T109">
        <v>40.625</v>
      </c>
    </row>
    <row r="110" spans="1:20" x14ac:dyDescent="0.3">
      <c r="A110" t="s">
        <v>125</v>
      </c>
      <c r="B110" t="s">
        <v>271</v>
      </c>
      <c r="C110" t="s">
        <v>283</v>
      </c>
      <c r="D110">
        <v>929</v>
      </c>
      <c r="E110" t="s">
        <v>580</v>
      </c>
      <c r="F110">
        <v>1</v>
      </c>
      <c r="G110">
        <v>1</v>
      </c>
      <c r="H110">
        <v>1964</v>
      </c>
      <c r="I110">
        <v>480679.68000000005</v>
      </c>
      <c r="J110">
        <v>1248</v>
      </c>
      <c r="K110">
        <v>385.16</v>
      </c>
      <c r="L110">
        <f t="shared" si="1"/>
        <v>2023</v>
      </c>
      <c r="M110" s="3">
        <v>44996</v>
      </c>
      <c r="N110" t="s">
        <v>570</v>
      </c>
      <c r="O110" t="s">
        <v>571</v>
      </c>
      <c r="P110" t="s">
        <v>588</v>
      </c>
      <c r="Q110">
        <v>69</v>
      </c>
      <c r="R110">
        <v>480679.68000000005</v>
      </c>
      <c r="S110">
        <v>-70.980999999999995</v>
      </c>
      <c r="T110">
        <v>42.417999999999999</v>
      </c>
    </row>
    <row r="111" spans="1:20" x14ac:dyDescent="0.3">
      <c r="A111" t="s">
        <v>126</v>
      </c>
      <c r="B111" t="s">
        <v>276</v>
      </c>
      <c r="C111" t="s">
        <v>317</v>
      </c>
      <c r="D111">
        <v>616</v>
      </c>
      <c r="E111" t="s">
        <v>586</v>
      </c>
      <c r="F111">
        <v>5</v>
      </c>
      <c r="G111">
        <v>5</v>
      </c>
      <c r="H111">
        <v>1919</v>
      </c>
      <c r="I111">
        <v>1824291</v>
      </c>
      <c r="J111">
        <v>2898</v>
      </c>
      <c r="K111">
        <v>629.5</v>
      </c>
      <c r="L111">
        <f t="shared" si="1"/>
        <v>2023</v>
      </c>
      <c r="M111" s="3">
        <v>44946</v>
      </c>
      <c r="N111" t="s">
        <v>566</v>
      </c>
      <c r="O111" t="s">
        <v>572</v>
      </c>
      <c r="P111" t="s">
        <v>591</v>
      </c>
      <c r="Q111">
        <v>53</v>
      </c>
      <c r="R111" t="s">
        <v>585</v>
      </c>
      <c r="S111">
        <v>-87.524000000000001</v>
      </c>
      <c r="T111">
        <v>41.947000000000003</v>
      </c>
    </row>
    <row r="112" spans="1:20" x14ac:dyDescent="0.3">
      <c r="A112" t="s">
        <v>127</v>
      </c>
      <c r="B112" t="s">
        <v>268</v>
      </c>
      <c r="C112" t="s">
        <v>282</v>
      </c>
      <c r="D112">
        <v>795</v>
      </c>
      <c r="E112" t="s">
        <v>580</v>
      </c>
      <c r="F112">
        <v>4</v>
      </c>
      <c r="G112">
        <v>3</v>
      </c>
      <c r="H112">
        <v>1967</v>
      </c>
      <c r="I112">
        <v>1126470.1499999999</v>
      </c>
      <c r="J112">
        <v>2397</v>
      </c>
      <c r="K112">
        <v>469.95</v>
      </c>
      <c r="L112">
        <f t="shared" si="1"/>
        <v>2024</v>
      </c>
      <c r="M112" s="3">
        <v>45598</v>
      </c>
      <c r="N112" t="s">
        <v>567</v>
      </c>
      <c r="O112" t="s">
        <v>571</v>
      </c>
      <c r="P112" t="s">
        <v>584</v>
      </c>
      <c r="Q112">
        <v>37</v>
      </c>
      <c r="R112">
        <v>1126470.1499999999</v>
      </c>
      <c r="S112">
        <v>-122.35299999999999</v>
      </c>
      <c r="T112">
        <v>47.683999999999997</v>
      </c>
    </row>
    <row r="113" spans="1:20" x14ac:dyDescent="0.3">
      <c r="A113" t="s">
        <v>128</v>
      </c>
      <c r="B113" t="s">
        <v>268</v>
      </c>
      <c r="C113" t="s">
        <v>319</v>
      </c>
      <c r="D113">
        <v>441</v>
      </c>
      <c r="E113" t="s">
        <v>583</v>
      </c>
      <c r="F113">
        <v>1</v>
      </c>
      <c r="G113">
        <v>1</v>
      </c>
      <c r="H113">
        <v>1971</v>
      </c>
      <c r="I113">
        <v>523096.31</v>
      </c>
      <c r="J113">
        <v>1331</v>
      </c>
      <c r="K113">
        <v>393.01</v>
      </c>
      <c r="L113">
        <f t="shared" si="1"/>
        <v>2024</v>
      </c>
      <c r="M113" s="3">
        <v>45598</v>
      </c>
      <c r="N113" t="s">
        <v>568</v>
      </c>
      <c r="O113" t="s">
        <v>572</v>
      </c>
      <c r="P113" t="s">
        <v>581</v>
      </c>
      <c r="Q113">
        <v>30</v>
      </c>
      <c r="R113">
        <v>523096.31</v>
      </c>
      <c r="S113">
        <v>-122.249</v>
      </c>
      <c r="T113">
        <v>47.631</v>
      </c>
    </row>
    <row r="114" spans="1:20" x14ac:dyDescent="0.3">
      <c r="A114" t="s">
        <v>129</v>
      </c>
      <c r="B114" t="s">
        <v>274</v>
      </c>
      <c r="C114" t="s">
        <v>320</v>
      </c>
      <c r="D114">
        <v>910</v>
      </c>
      <c r="E114" t="s">
        <v>587</v>
      </c>
      <c r="F114">
        <v>3</v>
      </c>
      <c r="G114">
        <v>3</v>
      </c>
      <c r="H114">
        <v>1983</v>
      </c>
      <c r="I114">
        <v>1174280</v>
      </c>
      <c r="J114">
        <v>1894</v>
      </c>
      <c r="K114">
        <v>620</v>
      </c>
      <c r="L114">
        <f t="shared" si="1"/>
        <v>2019</v>
      </c>
      <c r="M114" s="3">
        <v>43629</v>
      </c>
      <c r="N114" t="s">
        <v>570</v>
      </c>
      <c r="O114" t="s">
        <v>572</v>
      </c>
      <c r="P114" t="s">
        <v>589</v>
      </c>
      <c r="Q114">
        <v>47</v>
      </c>
      <c r="R114" t="s">
        <v>585</v>
      </c>
      <c r="S114">
        <v>-118.22799999999999</v>
      </c>
      <c r="T114">
        <v>33.966999999999999</v>
      </c>
    </row>
    <row r="115" spans="1:20" x14ac:dyDescent="0.3">
      <c r="A115" t="s">
        <v>130</v>
      </c>
      <c r="B115" t="s">
        <v>275</v>
      </c>
      <c r="C115" t="s">
        <v>302</v>
      </c>
      <c r="D115">
        <v>296</v>
      </c>
      <c r="E115" t="s">
        <v>586</v>
      </c>
      <c r="F115">
        <v>1</v>
      </c>
      <c r="G115">
        <v>1</v>
      </c>
      <c r="H115">
        <v>1954</v>
      </c>
      <c r="I115">
        <v>498481.2</v>
      </c>
      <c r="J115">
        <v>1359</v>
      </c>
      <c r="K115">
        <v>366.8</v>
      </c>
      <c r="L115">
        <f t="shared" si="1"/>
        <v>2022</v>
      </c>
      <c r="M115" s="3">
        <v>44583</v>
      </c>
      <c r="N115" t="s">
        <v>566</v>
      </c>
      <c r="O115" t="s">
        <v>571</v>
      </c>
      <c r="P115" t="s">
        <v>588</v>
      </c>
      <c r="Q115">
        <v>42</v>
      </c>
      <c r="R115">
        <v>498481.2</v>
      </c>
      <c r="S115">
        <v>-97.796999999999997</v>
      </c>
      <c r="T115">
        <v>30.206</v>
      </c>
    </row>
    <row r="116" spans="1:20" x14ac:dyDescent="0.3">
      <c r="A116" t="s">
        <v>131</v>
      </c>
      <c r="B116" t="s">
        <v>275</v>
      </c>
      <c r="C116" t="s">
        <v>295</v>
      </c>
      <c r="D116">
        <v>997</v>
      </c>
      <c r="E116" t="s">
        <v>580</v>
      </c>
      <c r="F116">
        <v>1</v>
      </c>
      <c r="G116">
        <v>1</v>
      </c>
      <c r="H116">
        <v>2000</v>
      </c>
      <c r="I116">
        <v>564192.23</v>
      </c>
      <c r="J116">
        <v>1561</v>
      </c>
      <c r="K116">
        <v>361.43</v>
      </c>
      <c r="L116">
        <f t="shared" si="1"/>
        <v>2023</v>
      </c>
      <c r="M116" s="3">
        <v>45180</v>
      </c>
      <c r="N116" t="s">
        <v>570</v>
      </c>
      <c r="O116" t="s">
        <v>572</v>
      </c>
      <c r="P116" t="s">
        <v>584</v>
      </c>
      <c r="Q116">
        <v>20</v>
      </c>
      <c r="R116">
        <v>564192.23</v>
      </c>
      <c r="S116">
        <v>-97.831999999999994</v>
      </c>
      <c r="T116">
        <v>30.347000000000001</v>
      </c>
    </row>
    <row r="117" spans="1:20" x14ac:dyDescent="0.3">
      <c r="A117" t="s">
        <v>132</v>
      </c>
      <c r="B117" t="s">
        <v>275</v>
      </c>
      <c r="C117" t="s">
        <v>302</v>
      </c>
      <c r="D117">
        <v>725</v>
      </c>
      <c r="E117" t="s">
        <v>587</v>
      </c>
      <c r="F117">
        <v>4</v>
      </c>
      <c r="G117">
        <v>4</v>
      </c>
      <c r="H117">
        <v>1923</v>
      </c>
      <c r="I117">
        <v>1175612.24</v>
      </c>
      <c r="J117">
        <v>2458</v>
      </c>
      <c r="K117">
        <v>478.28</v>
      </c>
      <c r="L117">
        <f t="shared" si="1"/>
        <v>2022</v>
      </c>
      <c r="M117" s="3">
        <v>44893</v>
      </c>
      <c r="N117" t="s">
        <v>566</v>
      </c>
      <c r="O117" t="s">
        <v>571</v>
      </c>
      <c r="P117" t="s">
        <v>588</v>
      </c>
      <c r="Q117">
        <v>7</v>
      </c>
      <c r="R117" t="s">
        <v>585</v>
      </c>
      <c r="S117">
        <v>-97.792000000000002</v>
      </c>
      <c r="T117">
        <v>30.305</v>
      </c>
    </row>
    <row r="118" spans="1:20" x14ac:dyDescent="0.3">
      <c r="A118" t="s">
        <v>133</v>
      </c>
      <c r="B118" t="s">
        <v>270</v>
      </c>
      <c r="C118" t="s">
        <v>304</v>
      </c>
      <c r="D118">
        <v>896</v>
      </c>
      <c r="E118" t="s">
        <v>582</v>
      </c>
      <c r="F118">
        <v>5</v>
      </c>
      <c r="G118">
        <v>5</v>
      </c>
      <c r="H118">
        <v>2003</v>
      </c>
      <c r="I118">
        <v>1726855.2</v>
      </c>
      <c r="J118">
        <v>2520</v>
      </c>
      <c r="K118">
        <v>685.26</v>
      </c>
      <c r="L118">
        <f t="shared" si="1"/>
        <v>2020</v>
      </c>
      <c r="M118" s="3">
        <v>43895</v>
      </c>
      <c r="N118" t="s">
        <v>568</v>
      </c>
      <c r="O118" t="s">
        <v>571</v>
      </c>
      <c r="P118" t="s">
        <v>584</v>
      </c>
      <c r="Q118">
        <v>44</v>
      </c>
      <c r="R118" t="s">
        <v>585</v>
      </c>
      <c r="S118">
        <v>-74.022000000000006</v>
      </c>
      <c r="T118">
        <v>40.723999999999997</v>
      </c>
    </row>
    <row r="119" spans="1:20" x14ac:dyDescent="0.3">
      <c r="A119" t="s">
        <v>134</v>
      </c>
      <c r="B119" t="s">
        <v>273</v>
      </c>
      <c r="C119" t="s">
        <v>315</v>
      </c>
      <c r="D119">
        <v>667</v>
      </c>
      <c r="E119" t="s">
        <v>583</v>
      </c>
      <c r="F119">
        <v>4</v>
      </c>
      <c r="G119">
        <v>3</v>
      </c>
      <c r="H119">
        <v>2004</v>
      </c>
      <c r="I119">
        <v>1914763.5</v>
      </c>
      <c r="J119">
        <v>2769</v>
      </c>
      <c r="K119">
        <v>691.5</v>
      </c>
      <c r="L119">
        <f t="shared" si="1"/>
        <v>2024</v>
      </c>
      <c r="M119" s="3">
        <v>45577</v>
      </c>
      <c r="N119" t="s">
        <v>567</v>
      </c>
      <c r="O119" t="s">
        <v>572</v>
      </c>
      <c r="P119" t="s">
        <v>584</v>
      </c>
      <c r="Q119">
        <v>30</v>
      </c>
      <c r="R119" t="s">
        <v>585</v>
      </c>
      <c r="S119">
        <v>-122.684</v>
      </c>
      <c r="T119">
        <v>45.43</v>
      </c>
    </row>
    <row r="120" spans="1:20" x14ac:dyDescent="0.3">
      <c r="A120" t="s">
        <v>135</v>
      </c>
      <c r="B120" t="s">
        <v>267</v>
      </c>
      <c r="C120" t="s">
        <v>309</v>
      </c>
      <c r="D120">
        <v>936</v>
      </c>
      <c r="E120" t="s">
        <v>582</v>
      </c>
      <c r="F120">
        <v>3</v>
      </c>
      <c r="G120">
        <v>3</v>
      </c>
      <c r="H120">
        <v>1920</v>
      </c>
      <c r="I120">
        <v>1192034.05</v>
      </c>
      <c r="J120">
        <v>2095</v>
      </c>
      <c r="K120">
        <v>568.99</v>
      </c>
      <c r="L120">
        <f t="shared" si="1"/>
        <v>2023</v>
      </c>
      <c r="M120" s="3">
        <v>44941</v>
      </c>
      <c r="N120" t="s">
        <v>570</v>
      </c>
      <c r="O120" t="s">
        <v>573</v>
      </c>
      <c r="P120" t="s">
        <v>581</v>
      </c>
      <c r="Q120">
        <v>34</v>
      </c>
      <c r="R120" t="s">
        <v>585</v>
      </c>
      <c r="S120">
        <v>-122.59099999999999</v>
      </c>
      <c r="T120">
        <v>45.506999999999998</v>
      </c>
    </row>
    <row r="121" spans="1:20" x14ac:dyDescent="0.3">
      <c r="A121" t="s">
        <v>136</v>
      </c>
      <c r="B121" t="s">
        <v>269</v>
      </c>
      <c r="C121" t="s">
        <v>592</v>
      </c>
      <c r="D121">
        <v>959</v>
      </c>
      <c r="E121" t="s">
        <v>587</v>
      </c>
      <c r="F121">
        <v>4</v>
      </c>
      <c r="G121">
        <v>4</v>
      </c>
      <c r="H121">
        <v>1964</v>
      </c>
      <c r="I121">
        <v>1431580.32</v>
      </c>
      <c r="J121">
        <v>2328</v>
      </c>
      <c r="K121">
        <v>614.94000000000005</v>
      </c>
      <c r="L121">
        <f t="shared" si="1"/>
        <v>2020</v>
      </c>
      <c r="M121" s="3">
        <v>44066</v>
      </c>
      <c r="N121" t="s">
        <v>569</v>
      </c>
      <c r="O121" t="s">
        <v>574</v>
      </c>
      <c r="P121" t="s">
        <v>591</v>
      </c>
      <c r="Q121">
        <v>10</v>
      </c>
      <c r="R121" t="s">
        <v>585</v>
      </c>
      <c r="S121">
        <v>-105.084</v>
      </c>
      <c r="T121">
        <v>39.715000000000003</v>
      </c>
    </row>
    <row r="122" spans="1:20" x14ac:dyDescent="0.3">
      <c r="A122" t="s">
        <v>137</v>
      </c>
      <c r="B122" t="s">
        <v>275</v>
      </c>
      <c r="C122" t="s">
        <v>295</v>
      </c>
      <c r="D122">
        <v>320</v>
      </c>
      <c r="E122" t="s">
        <v>586</v>
      </c>
      <c r="F122">
        <v>1</v>
      </c>
      <c r="G122">
        <v>1</v>
      </c>
      <c r="H122">
        <v>2006</v>
      </c>
      <c r="I122">
        <v>746099.9</v>
      </c>
      <c r="J122">
        <v>1630</v>
      </c>
      <c r="K122">
        <v>457.73</v>
      </c>
      <c r="L122">
        <f t="shared" si="1"/>
        <v>2019</v>
      </c>
      <c r="M122" s="3">
        <v>43669</v>
      </c>
      <c r="N122" t="s">
        <v>569</v>
      </c>
      <c r="O122" t="s">
        <v>571</v>
      </c>
      <c r="P122" t="s">
        <v>584</v>
      </c>
      <c r="Q122">
        <v>31</v>
      </c>
      <c r="R122">
        <v>746099.9</v>
      </c>
      <c r="S122">
        <v>-97.823999999999998</v>
      </c>
      <c r="T122">
        <v>30.170999999999999</v>
      </c>
    </row>
    <row r="123" spans="1:20" x14ac:dyDescent="0.3">
      <c r="A123" t="s">
        <v>138</v>
      </c>
      <c r="B123" t="s">
        <v>273</v>
      </c>
      <c r="C123" t="s">
        <v>315</v>
      </c>
      <c r="D123">
        <v>568</v>
      </c>
      <c r="E123" t="s">
        <v>583</v>
      </c>
      <c r="F123">
        <v>5</v>
      </c>
      <c r="G123">
        <v>5</v>
      </c>
      <c r="H123">
        <v>1999</v>
      </c>
      <c r="I123">
        <v>2065280</v>
      </c>
      <c r="J123">
        <v>2800</v>
      </c>
      <c r="K123">
        <v>737.6</v>
      </c>
      <c r="L123">
        <f t="shared" si="1"/>
        <v>2020</v>
      </c>
      <c r="M123" s="3">
        <v>44074</v>
      </c>
      <c r="N123" t="s">
        <v>568</v>
      </c>
      <c r="O123" t="s">
        <v>573</v>
      </c>
      <c r="P123" t="s">
        <v>577</v>
      </c>
      <c r="Q123">
        <v>22</v>
      </c>
      <c r="R123" t="s">
        <v>585</v>
      </c>
      <c r="S123">
        <v>-122.652</v>
      </c>
      <c r="T123">
        <v>45.468000000000004</v>
      </c>
    </row>
    <row r="124" spans="1:20" x14ac:dyDescent="0.3">
      <c r="A124" t="s">
        <v>139</v>
      </c>
      <c r="B124" t="s">
        <v>267</v>
      </c>
      <c r="C124" t="s">
        <v>590</v>
      </c>
      <c r="D124">
        <v>346</v>
      </c>
      <c r="E124" t="s">
        <v>580</v>
      </c>
      <c r="F124">
        <v>5</v>
      </c>
      <c r="G124">
        <v>5</v>
      </c>
      <c r="H124">
        <v>1980</v>
      </c>
      <c r="I124">
        <v>1587456</v>
      </c>
      <c r="J124">
        <v>2756</v>
      </c>
      <c r="K124">
        <v>576</v>
      </c>
      <c r="L124">
        <f t="shared" si="1"/>
        <v>2024</v>
      </c>
      <c r="M124" s="3">
        <v>45456</v>
      </c>
      <c r="N124" t="s">
        <v>567</v>
      </c>
      <c r="O124" t="s">
        <v>572</v>
      </c>
      <c r="P124" t="s">
        <v>584</v>
      </c>
      <c r="Q124">
        <v>37</v>
      </c>
      <c r="R124" t="s">
        <v>585</v>
      </c>
      <c r="S124">
        <v>-122.43</v>
      </c>
      <c r="T124">
        <v>37.728000000000002</v>
      </c>
    </row>
    <row r="125" spans="1:20" x14ac:dyDescent="0.3">
      <c r="A125" t="s">
        <v>140</v>
      </c>
      <c r="B125" t="s">
        <v>272</v>
      </c>
      <c r="C125" t="s">
        <v>298</v>
      </c>
      <c r="D125">
        <v>994</v>
      </c>
      <c r="E125" t="s">
        <v>582</v>
      </c>
      <c r="F125">
        <v>1</v>
      </c>
      <c r="G125">
        <v>1</v>
      </c>
      <c r="H125">
        <v>1946</v>
      </c>
      <c r="I125">
        <v>600030.63</v>
      </c>
      <c r="J125">
        <v>1307</v>
      </c>
      <c r="K125">
        <v>459.09</v>
      </c>
      <c r="L125">
        <f t="shared" si="1"/>
        <v>2023</v>
      </c>
      <c r="M125" s="3">
        <v>45255</v>
      </c>
      <c r="N125" t="s">
        <v>570</v>
      </c>
      <c r="O125" t="s">
        <v>571</v>
      </c>
      <c r="P125" t="s">
        <v>588</v>
      </c>
      <c r="Q125">
        <v>49</v>
      </c>
      <c r="R125">
        <v>600030.63</v>
      </c>
      <c r="S125">
        <v>-80.179000000000002</v>
      </c>
      <c r="T125">
        <v>25.858000000000001</v>
      </c>
    </row>
    <row r="126" spans="1:20" x14ac:dyDescent="0.3">
      <c r="A126" t="s">
        <v>141</v>
      </c>
      <c r="B126" t="s">
        <v>268</v>
      </c>
      <c r="C126" t="s">
        <v>303</v>
      </c>
      <c r="D126">
        <v>852</v>
      </c>
      <c r="E126" t="s">
        <v>587</v>
      </c>
      <c r="F126">
        <v>3</v>
      </c>
      <c r="G126">
        <v>3</v>
      </c>
      <c r="H126">
        <v>1902</v>
      </c>
      <c r="I126">
        <v>1205342.94</v>
      </c>
      <c r="J126">
        <v>2463</v>
      </c>
      <c r="K126">
        <v>489.38</v>
      </c>
      <c r="L126">
        <f t="shared" si="1"/>
        <v>2018</v>
      </c>
      <c r="M126" s="3">
        <v>43377</v>
      </c>
      <c r="N126" t="s">
        <v>568</v>
      </c>
      <c r="O126" t="s">
        <v>573</v>
      </c>
      <c r="P126" t="s">
        <v>577</v>
      </c>
      <c r="Q126">
        <v>99</v>
      </c>
      <c r="R126" t="s">
        <v>585</v>
      </c>
      <c r="S126">
        <v>-122.40900000000001</v>
      </c>
      <c r="T126">
        <v>47.631</v>
      </c>
    </row>
    <row r="127" spans="1:20" x14ac:dyDescent="0.3">
      <c r="A127" t="s">
        <v>142</v>
      </c>
      <c r="B127" t="s">
        <v>275</v>
      </c>
      <c r="C127" t="s">
        <v>296</v>
      </c>
      <c r="D127">
        <v>137</v>
      </c>
      <c r="E127" t="s">
        <v>587</v>
      </c>
      <c r="F127">
        <v>3</v>
      </c>
      <c r="G127">
        <v>3</v>
      </c>
      <c r="H127">
        <v>2004</v>
      </c>
      <c r="I127">
        <v>993171.24</v>
      </c>
      <c r="J127">
        <v>1908</v>
      </c>
      <c r="K127">
        <v>520.53</v>
      </c>
      <c r="L127">
        <f t="shared" si="1"/>
        <v>2023</v>
      </c>
      <c r="M127" s="3">
        <v>45004</v>
      </c>
      <c r="N127" t="s">
        <v>569</v>
      </c>
      <c r="O127" t="s">
        <v>571</v>
      </c>
      <c r="P127" t="s">
        <v>588</v>
      </c>
      <c r="Q127">
        <v>40</v>
      </c>
      <c r="R127">
        <v>993171.24</v>
      </c>
      <c r="S127">
        <v>-97.826999999999998</v>
      </c>
      <c r="T127">
        <v>30.332000000000001</v>
      </c>
    </row>
    <row r="128" spans="1:20" x14ac:dyDescent="0.3">
      <c r="A128" t="s">
        <v>143</v>
      </c>
      <c r="B128" t="s">
        <v>276</v>
      </c>
      <c r="C128" t="s">
        <v>307</v>
      </c>
      <c r="D128">
        <v>295</v>
      </c>
      <c r="E128" t="s">
        <v>587</v>
      </c>
      <c r="F128">
        <v>2</v>
      </c>
      <c r="G128">
        <v>1</v>
      </c>
      <c r="H128">
        <v>1940</v>
      </c>
      <c r="I128">
        <v>1004844.58</v>
      </c>
      <c r="J128">
        <v>2347</v>
      </c>
      <c r="K128">
        <v>428.14</v>
      </c>
      <c r="L128">
        <f t="shared" si="1"/>
        <v>2022</v>
      </c>
      <c r="M128" s="3">
        <v>44893</v>
      </c>
      <c r="N128" t="s">
        <v>569</v>
      </c>
      <c r="O128" t="s">
        <v>574</v>
      </c>
      <c r="P128" t="s">
        <v>589</v>
      </c>
      <c r="Q128">
        <v>9</v>
      </c>
      <c r="R128">
        <v>1004844.58</v>
      </c>
      <c r="S128">
        <v>-87.668999999999997</v>
      </c>
      <c r="T128">
        <v>41.889000000000003</v>
      </c>
    </row>
    <row r="129" spans="1:20" x14ac:dyDescent="0.3">
      <c r="A129" t="s">
        <v>144</v>
      </c>
      <c r="B129" t="s">
        <v>269</v>
      </c>
      <c r="C129" t="s">
        <v>592</v>
      </c>
      <c r="D129">
        <v>608</v>
      </c>
      <c r="E129" t="s">
        <v>582</v>
      </c>
      <c r="F129">
        <v>3</v>
      </c>
      <c r="G129">
        <v>3</v>
      </c>
      <c r="H129">
        <v>2002</v>
      </c>
      <c r="I129">
        <v>910864.5</v>
      </c>
      <c r="J129">
        <v>1950</v>
      </c>
      <c r="K129">
        <v>467.11</v>
      </c>
      <c r="L129">
        <f t="shared" si="1"/>
        <v>2022</v>
      </c>
      <c r="M129" s="3">
        <v>44890</v>
      </c>
      <c r="N129" t="s">
        <v>569</v>
      </c>
      <c r="O129" t="s">
        <v>572</v>
      </c>
      <c r="P129" t="s">
        <v>581</v>
      </c>
      <c r="Q129">
        <v>19</v>
      </c>
      <c r="R129">
        <v>910864.5</v>
      </c>
      <c r="S129">
        <v>-105.01300000000001</v>
      </c>
      <c r="T129">
        <v>39.819000000000003</v>
      </c>
    </row>
    <row r="130" spans="1:20" x14ac:dyDescent="0.3">
      <c r="A130" t="s">
        <v>145</v>
      </c>
      <c r="B130" t="s">
        <v>269</v>
      </c>
      <c r="C130" t="s">
        <v>593</v>
      </c>
      <c r="D130">
        <v>205</v>
      </c>
      <c r="E130" t="s">
        <v>583</v>
      </c>
      <c r="F130">
        <v>3</v>
      </c>
      <c r="G130">
        <v>2</v>
      </c>
      <c r="H130">
        <v>1993</v>
      </c>
      <c r="I130">
        <v>1069771.9000000001</v>
      </c>
      <c r="J130">
        <v>1910</v>
      </c>
      <c r="K130">
        <v>560.09</v>
      </c>
      <c r="L130">
        <f t="shared" ref="L130:L193" si="2">YEAR(M:M)</f>
        <v>2018</v>
      </c>
      <c r="M130" s="3">
        <v>43424</v>
      </c>
      <c r="N130" t="s">
        <v>569</v>
      </c>
      <c r="O130" t="s">
        <v>571</v>
      </c>
      <c r="P130" t="s">
        <v>584</v>
      </c>
      <c r="Q130">
        <v>45</v>
      </c>
      <c r="R130">
        <v>1069771.9000000001</v>
      </c>
      <c r="S130">
        <v>-104.98099999999999</v>
      </c>
      <c r="T130">
        <v>39.804000000000002</v>
      </c>
    </row>
    <row r="131" spans="1:20" x14ac:dyDescent="0.3">
      <c r="A131" t="s">
        <v>146</v>
      </c>
      <c r="B131" t="s">
        <v>269</v>
      </c>
      <c r="C131" t="s">
        <v>280</v>
      </c>
      <c r="D131">
        <v>729</v>
      </c>
      <c r="E131" t="s">
        <v>582</v>
      </c>
      <c r="F131">
        <v>3</v>
      </c>
      <c r="G131">
        <v>3</v>
      </c>
      <c r="H131">
        <v>1991</v>
      </c>
      <c r="I131">
        <v>1518484.52</v>
      </c>
      <c r="J131">
        <v>2569</v>
      </c>
      <c r="K131">
        <v>591.08000000000004</v>
      </c>
      <c r="L131">
        <f t="shared" si="2"/>
        <v>2019</v>
      </c>
      <c r="M131" s="3">
        <v>43783</v>
      </c>
      <c r="N131" t="s">
        <v>569</v>
      </c>
      <c r="O131" t="s">
        <v>571</v>
      </c>
      <c r="P131" t="s">
        <v>584</v>
      </c>
      <c r="Q131">
        <v>17</v>
      </c>
      <c r="R131" t="s">
        <v>585</v>
      </c>
      <c r="S131">
        <v>-104.916</v>
      </c>
      <c r="T131">
        <v>39.648000000000003</v>
      </c>
    </row>
    <row r="132" spans="1:20" x14ac:dyDescent="0.3">
      <c r="A132" t="s">
        <v>147</v>
      </c>
      <c r="B132" t="s">
        <v>271</v>
      </c>
      <c r="C132" t="s">
        <v>283</v>
      </c>
      <c r="D132">
        <v>135</v>
      </c>
      <c r="E132" t="s">
        <v>586</v>
      </c>
      <c r="F132">
        <v>1</v>
      </c>
      <c r="G132">
        <v>1</v>
      </c>
      <c r="H132">
        <v>1951</v>
      </c>
      <c r="I132">
        <v>577562.25</v>
      </c>
      <c r="J132">
        <v>1275</v>
      </c>
      <c r="K132">
        <v>452.99</v>
      </c>
      <c r="L132">
        <f t="shared" si="2"/>
        <v>2023</v>
      </c>
      <c r="M132" s="3">
        <v>45202</v>
      </c>
      <c r="N132" t="s">
        <v>567</v>
      </c>
      <c r="O132" t="s">
        <v>574</v>
      </c>
      <c r="P132" t="s">
        <v>588</v>
      </c>
      <c r="Q132">
        <v>4</v>
      </c>
      <c r="R132">
        <v>577562.25</v>
      </c>
      <c r="S132">
        <v>-71.037999999999997</v>
      </c>
      <c r="T132">
        <v>42.289000000000001</v>
      </c>
    </row>
    <row r="133" spans="1:20" x14ac:dyDescent="0.3">
      <c r="A133" t="s">
        <v>148</v>
      </c>
      <c r="B133" t="s">
        <v>267</v>
      </c>
      <c r="C133" t="s">
        <v>311</v>
      </c>
      <c r="D133">
        <v>687</v>
      </c>
      <c r="E133" t="s">
        <v>586</v>
      </c>
      <c r="F133">
        <v>3</v>
      </c>
      <c r="G133">
        <v>3</v>
      </c>
      <c r="H133">
        <v>1972</v>
      </c>
      <c r="I133">
        <v>1304605.58</v>
      </c>
      <c r="J133">
        <v>2558</v>
      </c>
      <c r="K133">
        <v>510.01</v>
      </c>
      <c r="L133">
        <f t="shared" si="2"/>
        <v>2024</v>
      </c>
      <c r="M133" s="3">
        <v>45579</v>
      </c>
      <c r="N133" t="s">
        <v>567</v>
      </c>
      <c r="O133" t="s">
        <v>571</v>
      </c>
      <c r="P133" t="s">
        <v>591</v>
      </c>
      <c r="Q133">
        <v>20</v>
      </c>
      <c r="R133" t="s">
        <v>585</v>
      </c>
      <c r="S133">
        <v>-122.35599999999999</v>
      </c>
      <c r="T133">
        <v>37.86</v>
      </c>
    </row>
    <row r="134" spans="1:20" x14ac:dyDescent="0.3">
      <c r="A134" t="s">
        <v>149</v>
      </c>
      <c r="B134" t="s">
        <v>273</v>
      </c>
      <c r="C134" t="s">
        <v>286</v>
      </c>
      <c r="D134">
        <v>220</v>
      </c>
      <c r="E134" t="s">
        <v>587</v>
      </c>
      <c r="F134">
        <v>4</v>
      </c>
      <c r="G134">
        <v>4</v>
      </c>
      <c r="H134">
        <v>1935</v>
      </c>
      <c r="I134">
        <v>1404359.8</v>
      </c>
      <c r="J134">
        <v>1972</v>
      </c>
      <c r="K134">
        <v>712.15</v>
      </c>
      <c r="L134">
        <f t="shared" si="2"/>
        <v>2019</v>
      </c>
      <c r="M134" s="3">
        <v>43565</v>
      </c>
      <c r="N134" t="s">
        <v>566</v>
      </c>
      <c r="O134" t="s">
        <v>572</v>
      </c>
      <c r="P134" t="s">
        <v>577</v>
      </c>
      <c r="Q134">
        <v>31</v>
      </c>
      <c r="R134" t="s">
        <v>585</v>
      </c>
      <c r="S134">
        <v>-122.703</v>
      </c>
      <c r="T134">
        <v>45.52</v>
      </c>
    </row>
    <row r="135" spans="1:20" x14ac:dyDescent="0.3">
      <c r="A135" t="s">
        <v>150</v>
      </c>
      <c r="B135" t="s">
        <v>271</v>
      </c>
      <c r="C135" t="s">
        <v>290</v>
      </c>
      <c r="D135">
        <v>555</v>
      </c>
      <c r="E135" t="s">
        <v>583</v>
      </c>
      <c r="F135">
        <v>2</v>
      </c>
      <c r="G135">
        <v>1</v>
      </c>
      <c r="H135">
        <v>1936</v>
      </c>
      <c r="I135">
        <v>889534.0199999999</v>
      </c>
      <c r="J135">
        <v>2109</v>
      </c>
      <c r="K135">
        <v>421.78</v>
      </c>
      <c r="L135">
        <f t="shared" si="2"/>
        <v>2020</v>
      </c>
      <c r="M135" s="3">
        <v>43920</v>
      </c>
      <c r="N135" t="s">
        <v>566</v>
      </c>
      <c r="O135" t="s">
        <v>573</v>
      </c>
      <c r="P135" t="s">
        <v>589</v>
      </c>
      <c r="Q135">
        <v>17</v>
      </c>
      <c r="R135">
        <v>889534.0199999999</v>
      </c>
      <c r="S135">
        <v>-71.125</v>
      </c>
      <c r="T135">
        <v>42.274999999999999</v>
      </c>
    </row>
    <row r="136" spans="1:20" x14ac:dyDescent="0.3">
      <c r="A136" t="s">
        <v>151</v>
      </c>
      <c r="B136" t="s">
        <v>269</v>
      </c>
      <c r="C136" t="s">
        <v>280</v>
      </c>
      <c r="D136">
        <v>911</v>
      </c>
      <c r="E136" t="s">
        <v>586</v>
      </c>
      <c r="F136">
        <v>1</v>
      </c>
      <c r="G136">
        <v>1</v>
      </c>
      <c r="H136">
        <v>1937</v>
      </c>
      <c r="I136">
        <v>678106.77</v>
      </c>
      <c r="J136">
        <v>1501</v>
      </c>
      <c r="K136">
        <v>451.77</v>
      </c>
      <c r="L136">
        <f t="shared" si="2"/>
        <v>2019</v>
      </c>
      <c r="M136" s="3">
        <v>43746</v>
      </c>
      <c r="N136" t="s">
        <v>567</v>
      </c>
      <c r="O136" t="s">
        <v>572</v>
      </c>
      <c r="P136" t="s">
        <v>581</v>
      </c>
      <c r="Q136">
        <v>21</v>
      </c>
      <c r="R136">
        <v>678106.77</v>
      </c>
      <c r="S136">
        <v>-105.066</v>
      </c>
      <c r="T136">
        <v>39.741999999999997</v>
      </c>
    </row>
    <row r="137" spans="1:20" x14ac:dyDescent="0.3">
      <c r="A137" t="s">
        <v>152</v>
      </c>
      <c r="B137" t="s">
        <v>276</v>
      </c>
      <c r="C137" t="s">
        <v>301</v>
      </c>
      <c r="D137">
        <v>834</v>
      </c>
      <c r="E137" t="s">
        <v>582</v>
      </c>
      <c r="F137">
        <v>1</v>
      </c>
      <c r="G137">
        <v>1</v>
      </c>
      <c r="H137">
        <v>1973</v>
      </c>
      <c r="I137">
        <v>611925.12</v>
      </c>
      <c r="J137">
        <v>1656</v>
      </c>
      <c r="K137">
        <v>369.52</v>
      </c>
      <c r="L137">
        <f t="shared" si="2"/>
        <v>2023</v>
      </c>
      <c r="M137" s="3">
        <v>45015</v>
      </c>
      <c r="N137" t="s">
        <v>570</v>
      </c>
      <c r="O137" t="s">
        <v>573</v>
      </c>
      <c r="P137" t="s">
        <v>588</v>
      </c>
      <c r="Q137">
        <v>30</v>
      </c>
      <c r="R137">
        <v>611925.12</v>
      </c>
      <c r="S137">
        <v>-87.706999999999994</v>
      </c>
      <c r="T137">
        <v>41.957000000000001</v>
      </c>
    </row>
    <row r="138" spans="1:20" x14ac:dyDescent="0.3">
      <c r="A138" t="s">
        <v>153</v>
      </c>
      <c r="B138" t="s">
        <v>273</v>
      </c>
      <c r="C138" t="s">
        <v>285</v>
      </c>
      <c r="D138">
        <v>755</v>
      </c>
      <c r="E138" t="s">
        <v>580</v>
      </c>
      <c r="F138">
        <v>4</v>
      </c>
      <c r="G138">
        <v>3</v>
      </c>
      <c r="H138">
        <v>1909</v>
      </c>
      <c r="I138">
        <v>1643044.5</v>
      </c>
      <c r="J138">
        <v>2430</v>
      </c>
      <c r="K138">
        <v>676.15</v>
      </c>
      <c r="L138">
        <f t="shared" si="2"/>
        <v>2021</v>
      </c>
      <c r="M138" s="3">
        <v>44399</v>
      </c>
      <c r="N138" t="s">
        <v>566</v>
      </c>
      <c r="O138" t="s">
        <v>571</v>
      </c>
      <c r="P138" t="s">
        <v>577</v>
      </c>
      <c r="Q138">
        <v>56</v>
      </c>
      <c r="R138" t="s">
        <v>585</v>
      </c>
      <c r="S138">
        <v>-122.711</v>
      </c>
      <c r="T138">
        <v>45.555999999999997</v>
      </c>
    </row>
    <row r="139" spans="1:20" x14ac:dyDescent="0.3">
      <c r="A139" t="s">
        <v>154</v>
      </c>
      <c r="B139" t="s">
        <v>275</v>
      </c>
      <c r="C139" t="s">
        <v>295</v>
      </c>
      <c r="D139">
        <v>330</v>
      </c>
      <c r="E139" t="s">
        <v>587</v>
      </c>
      <c r="F139">
        <v>4</v>
      </c>
      <c r="G139">
        <v>4</v>
      </c>
      <c r="H139">
        <v>2011</v>
      </c>
      <c r="I139">
        <v>998642.32</v>
      </c>
      <c r="J139">
        <v>2119</v>
      </c>
      <c r="K139">
        <v>471.28</v>
      </c>
      <c r="L139">
        <f t="shared" si="2"/>
        <v>2019</v>
      </c>
      <c r="M139" s="3">
        <v>43609</v>
      </c>
      <c r="N139" t="s">
        <v>570</v>
      </c>
      <c r="O139" t="s">
        <v>573</v>
      </c>
      <c r="P139" t="s">
        <v>589</v>
      </c>
      <c r="Q139">
        <v>73</v>
      </c>
      <c r="R139">
        <v>998642.32</v>
      </c>
      <c r="S139">
        <v>-97.775000000000006</v>
      </c>
      <c r="T139">
        <v>30.202999999999999</v>
      </c>
    </row>
    <row r="140" spans="1:20" x14ac:dyDescent="0.3">
      <c r="A140" t="s">
        <v>155</v>
      </c>
      <c r="B140" t="s">
        <v>273</v>
      </c>
      <c r="C140" t="s">
        <v>286</v>
      </c>
      <c r="D140">
        <v>272</v>
      </c>
      <c r="E140" t="s">
        <v>580</v>
      </c>
      <c r="F140">
        <v>1</v>
      </c>
      <c r="G140">
        <v>1</v>
      </c>
      <c r="H140">
        <v>1981</v>
      </c>
      <c r="I140">
        <v>775939.11</v>
      </c>
      <c r="J140">
        <v>1583</v>
      </c>
      <c r="K140">
        <v>490.17</v>
      </c>
      <c r="L140">
        <f t="shared" si="2"/>
        <v>2021</v>
      </c>
      <c r="M140" s="3">
        <v>44225</v>
      </c>
      <c r="N140" t="s">
        <v>567</v>
      </c>
      <c r="O140" t="s">
        <v>571</v>
      </c>
      <c r="P140" t="s">
        <v>589</v>
      </c>
      <c r="Q140">
        <v>81</v>
      </c>
      <c r="R140">
        <v>775939.11</v>
      </c>
      <c r="S140">
        <v>-122.761</v>
      </c>
      <c r="T140">
        <v>45.542999999999999</v>
      </c>
    </row>
    <row r="141" spans="1:20" x14ac:dyDescent="0.3">
      <c r="A141" t="s">
        <v>156</v>
      </c>
      <c r="B141" t="s">
        <v>274</v>
      </c>
      <c r="C141" t="s">
        <v>320</v>
      </c>
      <c r="D141">
        <v>889</v>
      </c>
      <c r="E141" t="s">
        <v>580</v>
      </c>
      <c r="F141">
        <v>2</v>
      </c>
      <c r="G141">
        <v>1</v>
      </c>
      <c r="H141">
        <v>1992</v>
      </c>
      <c r="I141">
        <v>1166444.75</v>
      </c>
      <c r="J141">
        <v>1829</v>
      </c>
      <c r="K141">
        <v>637.75</v>
      </c>
      <c r="L141">
        <f t="shared" si="2"/>
        <v>2021</v>
      </c>
      <c r="M141" s="3">
        <v>44225</v>
      </c>
      <c r="N141" t="s">
        <v>570</v>
      </c>
      <c r="O141" t="s">
        <v>573</v>
      </c>
      <c r="P141" t="s">
        <v>589</v>
      </c>
      <c r="Q141">
        <v>37</v>
      </c>
      <c r="R141" t="s">
        <v>585</v>
      </c>
      <c r="S141">
        <v>-118.324</v>
      </c>
      <c r="T141">
        <v>34.122999999999998</v>
      </c>
    </row>
    <row r="142" spans="1:20" x14ac:dyDescent="0.3">
      <c r="A142" t="s">
        <v>157</v>
      </c>
      <c r="B142" t="s">
        <v>271</v>
      </c>
      <c r="C142" t="s">
        <v>299</v>
      </c>
      <c r="D142">
        <v>515</v>
      </c>
      <c r="E142" t="s">
        <v>587</v>
      </c>
      <c r="F142">
        <v>5</v>
      </c>
      <c r="G142">
        <v>5</v>
      </c>
      <c r="H142">
        <v>1981</v>
      </c>
      <c r="I142">
        <v>2232496</v>
      </c>
      <c r="J142">
        <v>3215</v>
      </c>
      <c r="K142">
        <v>694.4</v>
      </c>
      <c r="L142">
        <f t="shared" si="2"/>
        <v>2023</v>
      </c>
      <c r="M142" s="3">
        <v>45140</v>
      </c>
      <c r="N142" t="s">
        <v>570</v>
      </c>
      <c r="O142" t="s">
        <v>571</v>
      </c>
      <c r="P142" t="s">
        <v>589</v>
      </c>
      <c r="Q142">
        <v>27</v>
      </c>
      <c r="R142" t="s">
        <v>585</v>
      </c>
      <c r="S142">
        <v>-71.063000000000002</v>
      </c>
      <c r="T142">
        <v>42.451000000000001</v>
      </c>
    </row>
    <row r="143" spans="1:20" x14ac:dyDescent="0.3">
      <c r="A143" t="s">
        <v>158</v>
      </c>
      <c r="B143" t="s">
        <v>270</v>
      </c>
      <c r="C143" t="s">
        <v>314</v>
      </c>
      <c r="D143">
        <v>851</v>
      </c>
      <c r="E143" t="s">
        <v>587</v>
      </c>
      <c r="F143">
        <v>1</v>
      </c>
      <c r="G143">
        <v>1</v>
      </c>
      <c r="H143">
        <v>1953</v>
      </c>
      <c r="I143">
        <v>911118.39</v>
      </c>
      <c r="J143">
        <v>1743</v>
      </c>
      <c r="K143">
        <v>522.73</v>
      </c>
      <c r="L143">
        <f t="shared" si="2"/>
        <v>2023</v>
      </c>
      <c r="M143" s="3">
        <v>45003</v>
      </c>
      <c r="N143" t="s">
        <v>567</v>
      </c>
      <c r="O143" t="s">
        <v>571</v>
      </c>
      <c r="P143" t="s">
        <v>584</v>
      </c>
      <c r="Q143">
        <v>76</v>
      </c>
      <c r="R143">
        <v>911118.39</v>
      </c>
      <c r="S143">
        <v>-73.938000000000002</v>
      </c>
      <c r="T143">
        <v>40.639000000000003</v>
      </c>
    </row>
    <row r="144" spans="1:20" x14ac:dyDescent="0.3">
      <c r="A144" t="s">
        <v>159</v>
      </c>
      <c r="B144" t="s">
        <v>272</v>
      </c>
      <c r="C144" t="s">
        <v>298</v>
      </c>
      <c r="D144">
        <v>397</v>
      </c>
      <c r="E144" t="s">
        <v>582</v>
      </c>
      <c r="F144">
        <v>3</v>
      </c>
      <c r="G144">
        <v>3</v>
      </c>
      <c r="H144">
        <v>1913</v>
      </c>
      <c r="I144">
        <v>1110733.9099999999</v>
      </c>
      <c r="J144">
        <v>1859</v>
      </c>
      <c r="K144">
        <v>597.49</v>
      </c>
      <c r="L144">
        <f t="shared" si="2"/>
        <v>2020</v>
      </c>
      <c r="M144" s="3">
        <v>44091</v>
      </c>
      <c r="N144" t="s">
        <v>569</v>
      </c>
      <c r="O144" t="s">
        <v>573</v>
      </c>
      <c r="P144" t="s">
        <v>591</v>
      </c>
      <c r="Q144">
        <v>66</v>
      </c>
      <c r="R144">
        <v>1110733.9099999999</v>
      </c>
      <c r="S144">
        <v>-80.262</v>
      </c>
      <c r="T144">
        <v>25.75</v>
      </c>
    </row>
    <row r="145" spans="1:20" x14ac:dyDescent="0.3">
      <c r="A145" t="s">
        <v>160</v>
      </c>
      <c r="B145" t="s">
        <v>274</v>
      </c>
      <c r="C145" t="s">
        <v>292</v>
      </c>
      <c r="D145">
        <v>578</v>
      </c>
      <c r="E145" t="s">
        <v>582</v>
      </c>
      <c r="F145">
        <v>2</v>
      </c>
      <c r="G145">
        <v>1</v>
      </c>
      <c r="H145">
        <v>2015</v>
      </c>
      <c r="I145">
        <v>715346.4</v>
      </c>
      <c r="J145">
        <v>1360</v>
      </c>
      <c r="K145">
        <v>525.99</v>
      </c>
      <c r="L145">
        <f t="shared" si="2"/>
        <v>2021</v>
      </c>
      <c r="M145" s="3">
        <v>44442</v>
      </c>
      <c r="N145" t="s">
        <v>570</v>
      </c>
      <c r="O145" t="s">
        <v>572</v>
      </c>
      <c r="P145" t="s">
        <v>577</v>
      </c>
      <c r="Q145">
        <v>26</v>
      </c>
      <c r="R145">
        <v>715346.4</v>
      </c>
      <c r="S145">
        <v>-118.30800000000001</v>
      </c>
      <c r="T145">
        <v>33.988</v>
      </c>
    </row>
    <row r="146" spans="1:20" x14ac:dyDescent="0.3">
      <c r="A146" t="s">
        <v>161</v>
      </c>
      <c r="B146" t="s">
        <v>271</v>
      </c>
      <c r="C146" t="s">
        <v>290</v>
      </c>
      <c r="D146">
        <v>711</v>
      </c>
      <c r="E146" t="s">
        <v>582</v>
      </c>
      <c r="F146">
        <v>1</v>
      </c>
      <c r="G146">
        <v>1</v>
      </c>
      <c r="H146">
        <v>1950</v>
      </c>
      <c r="I146">
        <v>670873.28</v>
      </c>
      <c r="J146">
        <v>1433</v>
      </c>
      <c r="K146">
        <v>468.16</v>
      </c>
      <c r="L146">
        <f t="shared" si="2"/>
        <v>2023</v>
      </c>
      <c r="M146" s="3">
        <v>44973</v>
      </c>
      <c r="N146" t="s">
        <v>567</v>
      </c>
      <c r="O146" t="s">
        <v>573</v>
      </c>
      <c r="P146" t="s">
        <v>588</v>
      </c>
      <c r="Q146">
        <v>80</v>
      </c>
      <c r="R146">
        <v>670873.28</v>
      </c>
      <c r="S146">
        <v>-71.150000000000006</v>
      </c>
      <c r="T146">
        <v>42.331000000000003</v>
      </c>
    </row>
    <row r="147" spans="1:20" x14ac:dyDescent="0.3">
      <c r="A147" t="s">
        <v>162</v>
      </c>
      <c r="B147" t="s">
        <v>271</v>
      </c>
      <c r="C147" t="s">
        <v>287</v>
      </c>
      <c r="D147">
        <v>675</v>
      </c>
      <c r="E147" t="s">
        <v>586</v>
      </c>
      <c r="F147">
        <v>1</v>
      </c>
      <c r="G147">
        <v>1</v>
      </c>
      <c r="H147">
        <v>1955</v>
      </c>
      <c r="I147">
        <v>740679.59</v>
      </c>
      <c r="J147">
        <v>1519</v>
      </c>
      <c r="K147">
        <v>487.61</v>
      </c>
      <c r="L147">
        <f t="shared" si="2"/>
        <v>2020</v>
      </c>
      <c r="M147" s="3">
        <v>44184</v>
      </c>
      <c r="N147" t="s">
        <v>568</v>
      </c>
      <c r="O147" t="s">
        <v>572</v>
      </c>
      <c r="P147" t="s">
        <v>577</v>
      </c>
      <c r="Q147">
        <v>6</v>
      </c>
      <c r="R147">
        <v>740679.59</v>
      </c>
      <c r="S147">
        <v>-71.08</v>
      </c>
      <c r="T147">
        <v>42.332999999999998</v>
      </c>
    </row>
    <row r="148" spans="1:20" x14ac:dyDescent="0.3">
      <c r="A148" t="s">
        <v>163</v>
      </c>
      <c r="B148" t="s">
        <v>269</v>
      </c>
      <c r="C148" t="s">
        <v>593</v>
      </c>
      <c r="D148">
        <v>199</v>
      </c>
      <c r="E148" t="s">
        <v>582</v>
      </c>
      <c r="F148">
        <v>3</v>
      </c>
      <c r="G148">
        <v>3</v>
      </c>
      <c r="H148">
        <v>1964</v>
      </c>
      <c r="I148">
        <v>926860.32</v>
      </c>
      <c r="J148">
        <v>1674</v>
      </c>
      <c r="K148">
        <v>553.67999999999995</v>
      </c>
      <c r="L148">
        <f t="shared" si="2"/>
        <v>2024</v>
      </c>
      <c r="M148" s="3">
        <v>45353</v>
      </c>
      <c r="N148" t="s">
        <v>568</v>
      </c>
      <c r="O148" t="s">
        <v>572</v>
      </c>
      <c r="P148" t="s">
        <v>581</v>
      </c>
      <c r="Q148">
        <v>46</v>
      </c>
      <c r="R148">
        <v>926860.32</v>
      </c>
      <c r="S148">
        <v>-104.968</v>
      </c>
      <c r="T148">
        <v>39.765000000000001</v>
      </c>
    </row>
    <row r="149" spans="1:20" x14ac:dyDescent="0.3">
      <c r="A149" t="s">
        <v>164</v>
      </c>
      <c r="B149" t="s">
        <v>269</v>
      </c>
      <c r="C149" t="s">
        <v>280</v>
      </c>
      <c r="D149">
        <v>830</v>
      </c>
      <c r="E149" t="s">
        <v>587</v>
      </c>
      <c r="F149">
        <v>5</v>
      </c>
      <c r="G149">
        <v>4</v>
      </c>
      <c r="H149">
        <v>1996</v>
      </c>
      <c r="I149">
        <v>1515811.36</v>
      </c>
      <c r="J149">
        <v>2692</v>
      </c>
      <c r="K149">
        <v>563.08000000000004</v>
      </c>
      <c r="L149">
        <f t="shared" si="2"/>
        <v>2020</v>
      </c>
      <c r="M149" s="3">
        <v>43916</v>
      </c>
      <c r="N149" t="s">
        <v>570</v>
      </c>
      <c r="O149" t="s">
        <v>571</v>
      </c>
      <c r="P149" t="s">
        <v>581</v>
      </c>
      <c r="Q149">
        <v>32</v>
      </c>
      <c r="R149" t="s">
        <v>585</v>
      </c>
      <c r="S149">
        <v>-105.081</v>
      </c>
      <c r="T149">
        <v>39.74</v>
      </c>
    </row>
    <row r="150" spans="1:20" x14ac:dyDescent="0.3">
      <c r="A150" t="s">
        <v>165</v>
      </c>
      <c r="B150" t="s">
        <v>270</v>
      </c>
      <c r="C150" t="s">
        <v>281</v>
      </c>
      <c r="D150">
        <v>857</v>
      </c>
      <c r="E150" t="s">
        <v>587</v>
      </c>
      <c r="F150">
        <v>4</v>
      </c>
      <c r="G150">
        <v>4</v>
      </c>
      <c r="H150">
        <v>2014</v>
      </c>
      <c r="I150">
        <v>1397150.0999999999</v>
      </c>
      <c r="J150">
        <v>2074</v>
      </c>
      <c r="K150">
        <v>673.65</v>
      </c>
      <c r="L150">
        <f t="shared" si="2"/>
        <v>2019</v>
      </c>
      <c r="M150" s="3">
        <v>43673</v>
      </c>
      <c r="N150" t="s">
        <v>568</v>
      </c>
      <c r="O150" t="s">
        <v>572</v>
      </c>
      <c r="P150" t="s">
        <v>577</v>
      </c>
      <c r="Q150">
        <v>45</v>
      </c>
      <c r="R150" t="s">
        <v>585</v>
      </c>
      <c r="S150">
        <v>-74.031000000000006</v>
      </c>
      <c r="T150">
        <v>40.673999999999999</v>
      </c>
    </row>
    <row r="151" spans="1:20" x14ac:dyDescent="0.3">
      <c r="A151" t="s">
        <v>166</v>
      </c>
      <c r="B151" t="s">
        <v>274</v>
      </c>
      <c r="C151" t="s">
        <v>312</v>
      </c>
      <c r="D151">
        <v>526</v>
      </c>
      <c r="E151" t="s">
        <v>580</v>
      </c>
      <c r="F151">
        <v>5</v>
      </c>
      <c r="G151">
        <v>4</v>
      </c>
      <c r="H151">
        <v>1968</v>
      </c>
      <c r="I151">
        <v>1759788.15</v>
      </c>
      <c r="J151">
        <v>2465</v>
      </c>
      <c r="K151">
        <v>713.91</v>
      </c>
      <c r="L151">
        <f t="shared" si="2"/>
        <v>2024</v>
      </c>
      <c r="M151" s="3">
        <v>45406</v>
      </c>
      <c r="N151" t="s">
        <v>568</v>
      </c>
      <c r="O151" t="s">
        <v>571</v>
      </c>
      <c r="P151" t="s">
        <v>591</v>
      </c>
      <c r="Q151">
        <v>3</v>
      </c>
      <c r="R151" t="s">
        <v>585</v>
      </c>
      <c r="S151">
        <v>-118.274</v>
      </c>
      <c r="T151">
        <v>33.953000000000003</v>
      </c>
    </row>
    <row r="152" spans="1:20" x14ac:dyDescent="0.3">
      <c r="A152" t="s">
        <v>167</v>
      </c>
      <c r="B152" t="s">
        <v>271</v>
      </c>
      <c r="C152" t="s">
        <v>283</v>
      </c>
      <c r="D152">
        <v>838</v>
      </c>
      <c r="E152" t="s">
        <v>580</v>
      </c>
      <c r="F152">
        <v>5</v>
      </c>
      <c r="G152">
        <v>5</v>
      </c>
      <c r="H152">
        <v>1983</v>
      </c>
      <c r="I152">
        <v>1810814.2799999998</v>
      </c>
      <c r="J152">
        <v>2684</v>
      </c>
      <c r="K152">
        <v>674.67</v>
      </c>
      <c r="L152">
        <f t="shared" si="2"/>
        <v>2024</v>
      </c>
      <c r="M152" s="3">
        <v>45466</v>
      </c>
      <c r="N152" t="s">
        <v>567</v>
      </c>
      <c r="O152" t="s">
        <v>572</v>
      </c>
      <c r="P152" t="s">
        <v>589</v>
      </c>
      <c r="Q152">
        <v>5</v>
      </c>
      <c r="R152" t="s">
        <v>585</v>
      </c>
      <c r="S152">
        <v>-71.126000000000005</v>
      </c>
      <c r="T152">
        <v>42.377000000000002</v>
      </c>
    </row>
    <row r="153" spans="1:20" x14ac:dyDescent="0.3">
      <c r="A153" t="s">
        <v>168</v>
      </c>
      <c r="B153" t="s">
        <v>272</v>
      </c>
      <c r="C153" t="s">
        <v>298</v>
      </c>
      <c r="D153">
        <v>520</v>
      </c>
      <c r="E153" t="s">
        <v>580</v>
      </c>
      <c r="F153">
        <v>2</v>
      </c>
      <c r="G153">
        <v>2</v>
      </c>
      <c r="H153">
        <v>1989</v>
      </c>
      <c r="I153">
        <v>948285.36</v>
      </c>
      <c r="J153">
        <v>1926</v>
      </c>
      <c r="K153">
        <v>492.36</v>
      </c>
      <c r="L153">
        <f t="shared" si="2"/>
        <v>2020</v>
      </c>
      <c r="M153" s="3">
        <v>43882</v>
      </c>
      <c r="N153" t="s">
        <v>566</v>
      </c>
      <c r="O153" t="s">
        <v>571</v>
      </c>
      <c r="P153" t="s">
        <v>581</v>
      </c>
      <c r="Q153">
        <v>11</v>
      </c>
      <c r="R153">
        <v>948285.36</v>
      </c>
      <c r="S153">
        <v>-80.206999999999994</v>
      </c>
      <c r="T153">
        <v>25.744</v>
      </c>
    </row>
    <row r="154" spans="1:20" x14ac:dyDescent="0.3">
      <c r="A154" t="s">
        <v>169</v>
      </c>
      <c r="B154" t="s">
        <v>274</v>
      </c>
      <c r="C154" t="s">
        <v>292</v>
      </c>
      <c r="D154">
        <v>570</v>
      </c>
      <c r="E154" t="s">
        <v>580</v>
      </c>
      <c r="F154">
        <v>1</v>
      </c>
      <c r="G154">
        <v>1</v>
      </c>
      <c r="H154">
        <v>1966</v>
      </c>
      <c r="I154">
        <v>713889.45</v>
      </c>
      <c r="J154">
        <v>1473</v>
      </c>
      <c r="K154">
        <v>484.65</v>
      </c>
      <c r="L154">
        <f t="shared" si="2"/>
        <v>2024</v>
      </c>
      <c r="M154" s="3">
        <v>45398</v>
      </c>
      <c r="N154" t="s">
        <v>568</v>
      </c>
      <c r="O154" t="s">
        <v>574</v>
      </c>
      <c r="P154" t="s">
        <v>581</v>
      </c>
      <c r="Q154">
        <v>18</v>
      </c>
      <c r="R154">
        <v>713889.45</v>
      </c>
      <c r="S154">
        <v>-118.265</v>
      </c>
      <c r="T154">
        <v>34.045999999999999</v>
      </c>
    </row>
    <row r="155" spans="1:20" x14ac:dyDescent="0.3">
      <c r="A155" t="s">
        <v>170</v>
      </c>
      <c r="B155" t="s">
        <v>269</v>
      </c>
      <c r="C155" t="s">
        <v>593</v>
      </c>
      <c r="D155">
        <v>404</v>
      </c>
      <c r="E155" t="s">
        <v>587</v>
      </c>
      <c r="F155">
        <v>3</v>
      </c>
      <c r="G155">
        <v>2</v>
      </c>
      <c r="H155">
        <v>2011</v>
      </c>
      <c r="I155">
        <v>1130145.51</v>
      </c>
      <c r="J155">
        <v>1801</v>
      </c>
      <c r="K155">
        <v>627.51</v>
      </c>
      <c r="L155">
        <f t="shared" si="2"/>
        <v>2024</v>
      </c>
      <c r="M155" s="3">
        <v>45599</v>
      </c>
      <c r="N155" t="s">
        <v>569</v>
      </c>
      <c r="O155" t="s">
        <v>573</v>
      </c>
      <c r="P155" t="s">
        <v>581</v>
      </c>
      <c r="Q155">
        <v>36</v>
      </c>
      <c r="R155">
        <v>1130145.51</v>
      </c>
      <c r="S155">
        <v>-104.97799999999999</v>
      </c>
      <c r="T155">
        <v>39.689</v>
      </c>
    </row>
    <row r="156" spans="1:20" x14ac:dyDescent="0.3">
      <c r="A156" t="s">
        <v>171</v>
      </c>
      <c r="B156" t="s">
        <v>276</v>
      </c>
      <c r="C156" t="s">
        <v>301</v>
      </c>
      <c r="D156">
        <v>938</v>
      </c>
      <c r="E156" t="s">
        <v>587</v>
      </c>
      <c r="F156">
        <v>3</v>
      </c>
      <c r="G156">
        <v>3</v>
      </c>
      <c r="H156">
        <v>1971</v>
      </c>
      <c r="I156">
        <v>996995.99999999988</v>
      </c>
      <c r="J156">
        <v>1925</v>
      </c>
      <c r="K156">
        <v>517.91999999999996</v>
      </c>
      <c r="L156">
        <f t="shared" si="2"/>
        <v>2021</v>
      </c>
      <c r="M156" s="3">
        <v>44279</v>
      </c>
      <c r="N156" t="s">
        <v>566</v>
      </c>
      <c r="O156" t="s">
        <v>571</v>
      </c>
      <c r="P156" t="s">
        <v>588</v>
      </c>
      <c r="Q156">
        <v>31</v>
      </c>
      <c r="R156">
        <v>996995.99999999988</v>
      </c>
      <c r="S156">
        <v>-87.540999999999997</v>
      </c>
      <c r="T156">
        <v>41.889000000000003</v>
      </c>
    </row>
    <row r="157" spans="1:20" x14ac:dyDescent="0.3">
      <c r="A157" t="s">
        <v>172</v>
      </c>
      <c r="B157" t="s">
        <v>275</v>
      </c>
      <c r="C157" t="s">
        <v>308</v>
      </c>
      <c r="D157">
        <v>377</v>
      </c>
      <c r="E157" t="s">
        <v>580</v>
      </c>
      <c r="F157">
        <v>1</v>
      </c>
      <c r="G157">
        <v>1</v>
      </c>
      <c r="H157">
        <v>1991</v>
      </c>
      <c r="I157">
        <v>584849.30000000005</v>
      </c>
      <c r="J157">
        <v>1445</v>
      </c>
      <c r="K157">
        <v>404.74</v>
      </c>
      <c r="L157">
        <f t="shared" si="2"/>
        <v>2021</v>
      </c>
      <c r="M157" s="3">
        <v>44519</v>
      </c>
      <c r="N157" t="s">
        <v>569</v>
      </c>
      <c r="O157" t="s">
        <v>571</v>
      </c>
      <c r="P157" t="s">
        <v>577</v>
      </c>
      <c r="Q157">
        <v>57</v>
      </c>
      <c r="R157">
        <v>584849.30000000005</v>
      </c>
      <c r="S157">
        <v>-97.796999999999997</v>
      </c>
      <c r="T157">
        <v>30.318999999999999</v>
      </c>
    </row>
    <row r="158" spans="1:20" x14ac:dyDescent="0.3">
      <c r="A158" t="s">
        <v>173</v>
      </c>
      <c r="B158" t="s">
        <v>271</v>
      </c>
      <c r="C158" t="s">
        <v>299</v>
      </c>
      <c r="D158">
        <v>202</v>
      </c>
      <c r="E158" t="s">
        <v>582</v>
      </c>
      <c r="F158">
        <v>1</v>
      </c>
      <c r="G158">
        <v>1</v>
      </c>
      <c r="H158">
        <v>1975</v>
      </c>
      <c r="I158">
        <v>552049.27999999991</v>
      </c>
      <c r="J158">
        <v>1367</v>
      </c>
      <c r="K158">
        <v>403.84</v>
      </c>
      <c r="L158">
        <f t="shared" si="2"/>
        <v>2020</v>
      </c>
      <c r="M158" s="3">
        <v>44094</v>
      </c>
      <c r="N158" t="s">
        <v>566</v>
      </c>
      <c r="O158" t="s">
        <v>571</v>
      </c>
      <c r="P158" t="s">
        <v>591</v>
      </c>
      <c r="Q158">
        <v>26</v>
      </c>
      <c r="R158">
        <v>552049.27999999991</v>
      </c>
      <c r="S158">
        <v>-71.031999999999996</v>
      </c>
      <c r="T158">
        <v>42.366</v>
      </c>
    </row>
    <row r="159" spans="1:20" x14ac:dyDescent="0.3">
      <c r="A159" t="s">
        <v>174</v>
      </c>
      <c r="B159" t="s">
        <v>269</v>
      </c>
      <c r="C159" t="s">
        <v>288</v>
      </c>
      <c r="D159">
        <v>766</v>
      </c>
      <c r="E159" t="s">
        <v>586</v>
      </c>
      <c r="F159">
        <v>1</v>
      </c>
      <c r="G159">
        <v>1</v>
      </c>
      <c r="H159">
        <v>1917</v>
      </c>
      <c r="I159">
        <v>340159.5</v>
      </c>
      <c r="J159">
        <v>925</v>
      </c>
      <c r="K159">
        <v>367.74</v>
      </c>
      <c r="L159">
        <f t="shared" si="2"/>
        <v>2024</v>
      </c>
      <c r="M159" s="3">
        <v>45355</v>
      </c>
      <c r="N159" t="s">
        <v>567</v>
      </c>
      <c r="O159" t="s">
        <v>571</v>
      </c>
      <c r="P159" t="s">
        <v>588</v>
      </c>
      <c r="Q159">
        <v>76</v>
      </c>
      <c r="R159">
        <v>340159.5</v>
      </c>
      <c r="S159">
        <v>-104.914</v>
      </c>
      <c r="T159">
        <v>39.826999999999998</v>
      </c>
    </row>
    <row r="160" spans="1:20" x14ac:dyDescent="0.3">
      <c r="A160" t="s">
        <v>175</v>
      </c>
      <c r="B160" t="s">
        <v>271</v>
      </c>
      <c r="C160" t="s">
        <v>313</v>
      </c>
      <c r="D160">
        <v>527</v>
      </c>
      <c r="E160" t="s">
        <v>586</v>
      </c>
      <c r="F160">
        <v>3</v>
      </c>
      <c r="G160">
        <v>2</v>
      </c>
      <c r="H160">
        <v>2016</v>
      </c>
      <c r="I160">
        <v>1291583.07</v>
      </c>
      <c r="J160">
        <v>2511</v>
      </c>
      <c r="K160">
        <v>514.37</v>
      </c>
      <c r="L160">
        <f t="shared" si="2"/>
        <v>2024</v>
      </c>
      <c r="M160" s="3">
        <v>45452</v>
      </c>
      <c r="N160" t="s">
        <v>567</v>
      </c>
      <c r="O160" t="s">
        <v>571</v>
      </c>
      <c r="P160" t="s">
        <v>581</v>
      </c>
      <c r="Q160">
        <v>52</v>
      </c>
      <c r="R160" t="s">
        <v>585</v>
      </c>
      <c r="S160">
        <v>-70.972999999999999</v>
      </c>
      <c r="T160">
        <v>42.405000000000001</v>
      </c>
    </row>
    <row r="161" spans="1:20" x14ac:dyDescent="0.3">
      <c r="A161" t="s">
        <v>176</v>
      </c>
      <c r="B161" t="s">
        <v>268</v>
      </c>
      <c r="C161" t="s">
        <v>303</v>
      </c>
      <c r="D161">
        <v>391</v>
      </c>
      <c r="E161" t="s">
        <v>582</v>
      </c>
      <c r="F161">
        <v>4</v>
      </c>
      <c r="G161">
        <v>4</v>
      </c>
      <c r="H161">
        <v>1995</v>
      </c>
      <c r="I161">
        <v>1542753.24</v>
      </c>
      <c r="J161">
        <v>2478</v>
      </c>
      <c r="K161">
        <v>622.58000000000004</v>
      </c>
      <c r="L161">
        <f t="shared" si="2"/>
        <v>2018</v>
      </c>
      <c r="M161" s="3">
        <v>43254</v>
      </c>
      <c r="N161" t="s">
        <v>566</v>
      </c>
      <c r="O161" t="s">
        <v>571</v>
      </c>
      <c r="P161" t="s">
        <v>584</v>
      </c>
      <c r="Q161">
        <v>68</v>
      </c>
      <c r="R161" t="s">
        <v>585</v>
      </c>
      <c r="S161">
        <v>-122.244</v>
      </c>
      <c r="T161">
        <v>47.621000000000002</v>
      </c>
    </row>
    <row r="162" spans="1:20" x14ac:dyDescent="0.3">
      <c r="A162" t="s">
        <v>177</v>
      </c>
      <c r="B162" t="s">
        <v>273</v>
      </c>
      <c r="C162" t="s">
        <v>315</v>
      </c>
      <c r="D162">
        <v>763</v>
      </c>
      <c r="E162" t="s">
        <v>587</v>
      </c>
      <c r="F162">
        <v>4</v>
      </c>
      <c r="G162">
        <v>3</v>
      </c>
      <c r="H162">
        <v>1917</v>
      </c>
      <c r="I162">
        <v>1485943.68</v>
      </c>
      <c r="J162">
        <v>2368</v>
      </c>
      <c r="K162">
        <v>627.51</v>
      </c>
      <c r="L162">
        <f t="shared" si="2"/>
        <v>2023</v>
      </c>
      <c r="M162" s="3">
        <v>45018</v>
      </c>
      <c r="N162" t="s">
        <v>568</v>
      </c>
      <c r="O162" t="s">
        <v>573</v>
      </c>
      <c r="P162" t="s">
        <v>588</v>
      </c>
      <c r="Q162">
        <v>13</v>
      </c>
      <c r="R162" t="s">
        <v>585</v>
      </c>
      <c r="S162">
        <v>-122.748</v>
      </c>
      <c r="T162">
        <v>45.442999999999998</v>
      </c>
    </row>
    <row r="163" spans="1:20" x14ac:dyDescent="0.3">
      <c r="A163" t="s">
        <v>178</v>
      </c>
      <c r="B163" t="s">
        <v>275</v>
      </c>
      <c r="C163" t="s">
        <v>296</v>
      </c>
      <c r="D163">
        <v>435</v>
      </c>
      <c r="E163" t="s">
        <v>583</v>
      </c>
      <c r="F163">
        <v>3</v>
      </c>
      <c r="G163">
        <v>2</v>
      </c>
      <c r="H163">
        <v>1972</v>
      </c>
      <c r="I163">
        <v>982125.09</v>
      </c>
      <c r="J163">
        <v>2151</v>
      </c>
      <c r="K163">
        <v>456.59</v>
      </c>
      <c r="L163">
        <f t="shared" si="2"/>
        <v>2019</v>
      </c>
      <c r="M163" s="3">
        <v>43819</v>
      </c>
      <c r="N163" t="s">
        <v>570</v>
      </c>
      <c r="O163" t="s">
        <v>572</v>
      </c>
      <c r="P163" t="s">
        <v>577</v>
      </c>
      <c r="Q163">
        <v>7</v>
      </c>
      <c r="R163">
        <v>982125.09</v>
      </c>
      <c r="S163">
        <v>-97.674999999999997</v>
      </c>
      <c r="T163">
        <v>30.349</v>
      </c>
    </row>
    <row r="164" spans="1:20" x14ac:dyDescent="0.3">
      <c r="A164" t="s">
        <v>179</v>
      </c>
      <c r="B164" t="s">
        <v>272</v>
      </c>
      <c r="C164" t="s">
        <v>294</v>
      </c>
      <c r="D164">
        <v>409</v>
      </c>
      <c r="E164" t="s">
        <v>580</v>
      </c>
      <c r="F164">
        <v>2</v>
      </c>
      <c r="G164">
        <v>1</v>
      </c>
      <c r="H164">
        <v>1961</v>
      </c>
      <c r="I164">
        <v>782538.12</v>
      </c>
      <c r="J164">
        <v>1638</v>
      </c>
      <c r="K164">
        <v>477.74</v>
      </c>
      <c r="L164">
        <f t="shared" si="2"/>
        <v>2020</v>
      </c>
      <c r="M164" s="3">
        <v>44117</v>
      </c>
      <c r="N164" t="s">
        <v>566</v>
      </c>
      <c r="O164" t="s">
        <v>571</v>
      </c>
      <c r="P164" t="s">
        <v>584</v>
      </c>
      <c r="Q164">
        <v>85</v>
      </c>
      <c r="R164">
        <v>782538.12</v>
      </c>
      <c r="S164">
        <v>-80.138999999999996</v>
      </c>
      <c r="T164">
        <v>25.707000000000001</v>
      </c>
    </row>
    <row r="165" spans="1:20" x14ac:dyDescent="0.3">
      <c r="A165" t="s">
        <v>180</v>
      </c>
      <c r="B165" t="s">
        <v>274</v>
      </c>
      <c r="C165" t="s">
        <v>297</v>
      </c>
      <c r="D165">
        <v>888</v>
      </c>
      <c r="E165" t="s">
        <v>587</v>
      </c>
      <c r="F165">
        <v>3</v>
      </c>
      <c r="G165">
        <v>2</v>
      </c>
      <c r="H165">
        <v>1988</v>
      </c>
      <c r="I165">
        <v>1457076</v>
      </c>
      <c r="J165">
        <v>2320</v>
      </c>
      <c r="K165">
        <v>628.04999999999995</v>
      </c>
      <c r="L165">
        <f t="shared" si="2"/>
        <v>2018</v>
      </c>
      <c r="M165" s="3">
        <v>43355</v>
      </c>
      <c r="N165" t="s">
        <v>566</v>
      </c>
      <c r="O165" t="s">
        <v>571</v>
      </c>
      <c r="P165" t="s">
        <v>589</v>
      </c>
      <c r="Q165">
        <v>79</v>
      </c>
      <c r="R165" t="s">
        <v>585</v>
      </c>
      <c r="S165">
        <v>-118.203</v>
      </c>
      <c r="T165">
        <v>33.981999999999999</v>
      </c>
    </row>
    <row r="166" spans="1:20" x14ac:dyDescent="0.3">
      <c r="A166" t="s">
        <v>181</v>
      </c>
      <c r="B166" t="s">
        <v>267</v>
      </c>
      <c r="C166" t="s">
        <v>285</v>
      </c>
      <c r="D166">
        <v>662</v>
      </c>
      <c r="E166" t="s">
        <v>582</v>
      </c>
      <c r="F166">
        <v>3</v>
      </c>
      <c r="G166">
        <v>2</v>
      </c>
      <c r="H166">
        <v>1928</v>
      </c>
      <c r="I166">
        <v>912632.11</v>
      </c>
      <c r="J166">
        <v>2119</v>
      </c>
      <c r="K166">
        <v>430.69</v>
      </c>
      <c r="L166">
        <f t="shared" si="2"/>
        <v>2023</v>
      </c>
      <c r="M166" s="3">
        <v>45059</v>
      </c>
      <c r="N166" t="s">
        <v>567</v>
      </c>
      <c r="O166" t="s">
        <v>571</v>
      </c>
      <c r="P166" t="s">
        <v>589</v>
      </c>
      <c r="Q166">
        <v>80</v>
      </c>
      <c r="R166">
        <v>912632.11</v>
      </c>
      <c r="S166">
        <v>-122.355</v>
      </c>
      <c r="T166">
        <v>37.868000000000002</v>
      </c>
    </row>
    <row r="167" spans="1:20" x14ac:dyDescent="0.3">
      <c r="A167" t="s">
        <v>182</v>
      </c>
      <c r="B167" t="s">
        <v>273</v>
      </c>
      <c r="C167" t="s">
        <v>289</v>
      </c>
      <c r="D167">
        <v>163</v>
      </c>
      <c r="E167" t="s">
        <v>580</v>
      </c>
      <c r="F167">
        <v>2</v>
      </c>
      <c r="G167">
        <v>1</v>
      </c>
      <c r="H167">
        <v>1976</v>
      </c>
      <c r="I167">
        <v>989636.4</v>
      </c>
      <c r="J167">
        <v>1935</v>
      </c>
      <c r="K167">
        <v>511.44</v>
      </c>
      <c r="L167">
        <f t="shared" si="2"/>
        <v>2023</v>
      </c>
      <c r="M167" s="3">
        <v>45253</v>
      </c>
      <c r="N167" t="s">
        <v>569</v>
      </c>
      <c r="O167" t="s">
        <v>571</v>
      </c>
      <c r="P167" t="s">
        <v>591</v>
      </c>
      <c r="Q167">
        <v>29</v>
      </c>
      <c r="R167">
        <v>989636.4</v>
      </c>
      <c r="S167">
        <v>-122.59699999999999</v>
      </c>
      <c r="T167">
        <v>45.491999999999997</v>
      </c>
    </row>
    <row r="168" spans="1:20" x14ac:dyDescent="0.3">
      <c r="A168" t="s">
        <v>183</v>
      </c>
      <c r="B168" t="s">
        <v>273</v>
      </c>
      <c r="C168" t="s">
        <v>289</v>
      </c>
      <c r="D168">
        <v>622</v>
      </c>
      <c r="E168" t="s">
        <v>582</v>
      </c>
      <c r="F168">
        <v>5</v>
      </c>
      <c r="G168">
        <v>5</v>
      </c>
      <c r="H168">
        <v>1921</v>
      </c>
      <c r="I168">
        <v>1626568.4100000001</v>
      </c>
      <c r="J168">
        <v>2481</v>
      </c>
      <c r="K168">
        <v>655.61</v>
      </c>
      <c r="L168">
        <f t="shared" si="2"/>
        <v>2023</v>
      </c>
      <c r="M168" s="3">
        <v>45232</v>
      </c>
      <c r="N168" t="s">
        <v>569</v>
      </c>
      <c r="O168" t="s">
        <v>573</v>
      </c>
      <c r="P168" t="s">
        <v>591</v>
      </c>
      <c r="Q168">
        <v>62</v>
      </c>
      <c r="R168" t="s">
        <v>585</v>
      </c>
      <c r="S168">
        <v>-122.663</v>
      </c>
      <c r="T168">
        <v>45.460999999999999</v>
      </c>
    </row>
    <row r="169" spans="1:20" x14ac:dyDescent="0.3">
      <c r="A169" t="s">
        <v>184</v>
      </c>
      <c r="B169" t="s">
        <v>268</v>
      </c>
      <c r="C169" t="s">
        <v>303</v>
      </c>
      <c r="D169">
        <v>360</v>
      </c>
      <c r="E169" t="s">
        <v>583</v>
      </c>
      <c r="F169">
        <v>2</v>
      </c>
      <c r="G169">
        <v>2</v>
      </c>
      <c r="H169">
        <v>1958</v>
      </c>
      <c r="I169">
        <v>800251.65</v>
      </c>
      <c r="J169">
        <v>2277</v>
      </c>
      <c r="K169">
        <v>351.45</v>
      </c>
      <c r="L169">
        <f t="shared" si="2"/>
        <v>2018</v>
      </c>
      <c r="M169" s="3">
        <v>43337</v>
      </c>
      <c r="N169" t="s">
        <v>570</v>
      </c>
      <c r="O169" t="s">
        <v>571</v>
      </c>
      <c r="P169" t="s">
        <v>588</v>
      </c>
      <c r="Q169">
        <v>51</v>
      </c>
      <c r="R169">
        <v>800251.65</v>
      </c>
      <c r="S169">
        <v>-122.285</v>
      </c>
      <c r="T169">
        <v>47.661000000000001</v>
      </c>
    </row>
    <row r="170" spans="1:20" x14ac:dyDescent="0.3">
      <c r="A170" t="s">
        <v>185</v>
      </c>
      <c r="B170" t="s">
        <v>276</v>
      </c>
      <c r="C170" t="s">
        <v>318</v>
      </c>
      <c r="D170">
        <v>393</v>
      </c>
      <c r="E170" t="s">
        <v>582</v>
      </c>
      <c r="F170">
        <v>1</v>
      </c>
      <c r="G170">
        <v>1</v>
      </c>
      <c r="H170">
        <v>1944</v>
      </c>
      <c r="I170">
        <v>506950.29000000004</v>
      </c>
      <c r="J170">
        <v>1337</v>
      </c>
      <c r="K170">
        <v>379.17</v>
      </c>
      <c r="L170">
        <f t="shared" si="2"/>
        <v>2024</v>
      </c>
      <c r="M170" s="3">
        <v>45317</v>
      </c>
      <c r="N170" t="s">
        <v>566</v>
      </c>
      <c r="O170" t="s">
        <v>572</v>
      </c>
      <c r="P170" t="s">
        <v>591</v>
      </c>
      <c r="Q170">
        <v>17</v>
      </c>
      <c r="R170">
        <v>506950.29000000004</v>
      </c>
      <c r="S170">
        <v>-87.533000000000001</v>
      </c>
      <c r="T170">
        <v>41.793999999999997</v>
      </c>
    </row>
    <row r="171" spans="1:20" x14ac:dyDescent="0.3">
      <c r="A171" t="s">
        <v>186</v>
      </c>
      <c r="B171" t="s">
        <v>267</v>
      </c>
      <c r="C171" t="s">
        <v>295</v>
      </c>
      <c r="D171">
        <v>236</v>
      </c>
      <c r="E171" t="s">
        <v>587</v>
      </c>
      <c r="F171">
        <v>4</v>
      </c>
      <c r="G171">
        <v>4</v>
      </c>
      <c r="H171">
        <v>2014</v>
      </c>
      <c r="I171">
        <v>1188794.8800000001</v>
      </c>
      <c r="J171">
        <v>2184</v>
      </c>
      <c r="K171">
        <v>544.32000000000005</v>
      </c>
      <c r="L171">
        <f t="shared" si="2"/>
        <v>2023</v>
      </c>
      <c r="M171" s="3">
        <v>44938</v>
      </c>
      <c r="N171" t="s">
        <v>569</v>
      </c>
      <c r="O171" t="s">
        <v>571</v>
      </c>
      <c r="P171" t="s">
        <v>577</v>
      </c>
      <c r="Q171">
        <v>10</v>
      </c>
      <c r="R171" t="s">
        <v>585</v>
      </c>
      <c r="S171">
        <v>-97.707999999999998</v>
      </c>
      <c r="T171">
        <v>30.306999999999999</v>
      </c>
    </row>
    <row r="172" spans="1:20" x14ac:dyDescent="0.3">
      <c r="A172" t="s">
        <v>187</v>
      </c>
      <c r="B172" t="s">
        <v>267</v>
      </c>
      <c r="C172" t="s">
        <v>311</v>
      </c>
      <c r="D172">
        <v>644</v>
      </c>
      <c r="E172" t="s">
        <v>582</v>
      </c>
      <c r="F172">
        <v>5</v>
      </c>
      <c r="G172">
        <v>5</v>
      </c>
      <c r="H172">
        <v>1916</v>
      </c>
      <c r="I172">
        <v>1566826.4</v>
      </c>
      <c r="J172">
        <v>2768</v>
      </c>
      <c r="K172">
        <v>566.04999999999995</v>
      </c>
      <c r="L172">
        <f t="shared" si="2"/>
        <v>2018</v>
      </c>
      <c r="M172" s="3">
        <v>43115</v>
      </c>
      <c r="N172" t="s">
        <v>566</v>
      </c>
      <c r="O172" t="s">
        <v>574</v>
      </c>
      <c r="P172" t="s">
        <v>588</v>
      </c>
      <c r="Q172">
        <v>27</v>
      </c>
      <c r="R172" t="s">
        <v>585</v>
      </c>
      <c r="S172">
        <v>-122.286</v>
      </c>
      <c r="T172">
        <v>37.762999999999998</v>
      </c>
    </row>
    <row r="173" spans="1:20" x14ac:dyDescent="0.3">
      <c r="A173" t="s">
        <v>188</v>
      </c>
      <c r="B173" t="s">
        <v>276</v>
      </c>
      <c r="C173" t="s">
        <v>305</v>
      </c>
      <c r="D173">
        <v>346</v>
      </c>
      <c r="E173" t="s">
        <v>586</v>
      </c>
      <c r="F173">
        <v>4</v>
      </c>
      <c r="G173">
        <v>4</v>
      </c>
      <c r="H173">
        <v>1935</v>
      </c>
      <c r="I173">
        <v>1159252.04</v>
      </c>
      <c r="J173">
        <v>2173</v>
      </c>
      <c r="K173">
        <v>533.48</v>
      </c>
      <c r="L173">
        <f t="shared" si="2"/>
        <v>2019</v>
      </c>
      <c r="M173" s="3">
        <v>43563</v>
      </c>
      <c r="N173" t="s">
        <v>566</v>
      </c>
      <c r="O173" t="s">
        <v>572</v>
      </c>
      <c r="P173" t="s">
        <v>591</v>
      </c>
      <c r="Q173">
        <v>57</v>
      </c>
      <c r="R173" t="s">
        <v>585</v>
      </c>
      <c r="S173">
        <v>-87.566999999999993</v>
      </c>
      <c r="T173">
        <v>41.863999999999997</v>
      </c>
    </row>
    <row r="174" spans="1:20" x14ac:dyDescent="0.3">
      <c r="A174" t="s">
        <v>189</v>
      </c>
      <c r="B174" t="s">
        <v>267</v>
      </c>
      <c r="C174" t="s">
        <v>278</v>
      </c>
      <c r="D174">
        <v>243</v>
      </c>
      <c r="E174" t="s">
        <v>580</v>
      </c>
      <c r="F174">
        <v>5</v>
      </c>
      <c r="G174">
        <v>5</v>
      </c>
      <c r="H174">
        <v>1976</v>
      </c>
      <c r="I174">
        <v>1483266.2499999998</v>
      </c>
      <c r="J174">
        <v>2825</v>
      </c>
      <c r="K174">
        <v>525.04999999999995</v>
      </c>
      <c r="L174">
        <f t="shared" si="2"/>
        <v>2020</v>
      </c>
      <c r="M174" s="3">
        <v>44103</v>
      </c>
      <c r="N174" t="s">
        <v>566</v>
      </c>
      <c r="O174" t="s">
        <v>571</v>
      </c>
      <c r="P174" t="s">
        <v>591</v>
      </c>
      <c r="Q174">
        <v>37</v>
      </c>
      <c r="R174" t="s">
        <v>585</v>
      </c>
      <c r="S174">
        <v>-122.387</v>
      </c>
      <c r="T174">
        <v>37.716999999999999</v>
      </c>
    </row>
    <row r="175" spans="1:20" x14ac:dyDescent="0.3">
      <c r="A175" t="s">
        <v>190</v>
      </c>
      <c r="B175" t="s">
        <v>271</v>
      </c>
      <c r="C175" t="s">
        <v>299</v>
      </c>
      <c r="D175">
        <v>407</v>
      </c>
      <c r="E175" t="s">
        <v>587</v>
      </c>
      <c r="F175">
        <v>5</v>
      </c>
      <c r="G175">
        <v>5</v>
      </c>
      <c r="H175">
        <v>1976</v>
      </c>
      <c r="I175">
        <v>1626954.8</v>
      </c>
      <c r="J175">
        <v>2888</v>
      </c>
      <c r="K175">
        <v>563.35</v>
      </c>
      <c r="L175">
        <f t="shared" si="2"/>
        <v>2020</v>
      </c>
      <c r="M175" s="3">
        <v>44071</v>
      </c>
      <c r="N175" t="s">
        <v>568</v>
      </c>
      <c r="O175" t="s">
        <v>572</v>
      </c>
      <c r="P175" t="s">
        <v>588</v>
      </c>
      <c r="Q175">
        <v>51</v>
      </c>
      <c r="R175" t="s">
        <v>585</v>
      </c>
      <c r="S175">
        <v>-71.055999999999997</v>
      </c>
      <c r="T175">
        <v>42.457000000000001</v>
      </c>
    </row>
    <row r="176" spans="1:20" x14ac:dyDescent="0.3">
      <c r="A176" t="s">
        <v>191</v>
      </c>
      <c r="B176" t="s">
        <v>268</v>
      </c>
      <c r="C176" t="s">
        <v>279</v>
      </c>
      <c r="D176">
        <v>490</v>
      </c>
      <c r="E176" t="s">
        <v>580</v>
      </c>
      <c r="F176">
        <v>5</v>
      </c>
      <c r="G176">
        <v>4</v>
      </c>
      <c r="H176">
        <v>2016</v>
      </c>
      <c r="I176">
        <v>1443467.76</v>
      </c>
      <c r="J176">
        <v>2534</v>
      </c>
      <c r="K176">
        <v>569.64</v>
      </c>
      <c r="L176">
        <f t="shared" si="2"/>
        <v>2022</v>
      </c>
      <c r="M176" s="3">
        <v>44850</v>
      </c>
      <c r="N176" t="s">
        <v>570</v>
      </c>
      <c r="O176" t="s">
        <v>571</v>
      </c>
      <c r="P176" t="s">
        <v>589</v>
      </c>
      <c r="Q176">
        <v>12</v>
      </c>
      <c r="R176" t="s">
        <v>585</v>
      </c>
      <c r="S176">
        <v>-122.242</v>
      </c>
      <c r="T176">
        <v>47.694000000000003</v>
      </c>
    </row>
    <row r="177" spans="1:20" x14ac:dyDescent="0.3">
      <c r="A177" t="s">
        <v>192</v>
      </c>
      <c r="B177" t="s">
        <v>269</v>
      </c>
      <c r="C177" t="s">
        <v>288</v>
      </c>
      <c r="D177">
        <v>925</v>
      </c>
      <c r="E177" t="s">
        <v>582</v>
      </c>
      <c r="F177">
        <v>4</v>
      </c>
      <c r="G177">
        <v>4</v>
      </c>
      <c r="H177">
        <v>1948</v>
      </c>
      <c r="I177">
        <v>1034763.08</v>
      </c>
      <c r="J177">
        <v>1949</v>
      </c>
      <c r="K177">
        <v>530.91999999999996</v>
      </c>
      <c r="L177">
        <f t="shared" si="2"/>
        <v>2024</v>
      </c>
      <c r="M177" s="3">
        <v>45304</v>
      </c>
      <c r="N177" t="s">
        <v>569</v>
      </c>
      <c r="O177" t="s">
        <v>573</v>
      </c>
      <c r="P177" t="s">
        <v>581</v>
      </c>
      <c r="Q177">
        <v>36</v>
      </c>
      <c r="R177">
        <v>1034763.08</v>
      </c>
      <c r="S177">
        <v>-104.91800000000001</v>
      </c>
      <c r="T177">
        <v>39.685000000000002</v>
      </c>
    </row>
    <row r="178" spans="1:20" x14ac:dyDescent="0.3">
      <c r="A178" t="s">
        <v>193</v>
      </c>
      <c r="B178" t="s">
        <v>268</v>
      </c>
      <c r="C178" t="s">
        <v>279</v>
      </c>
      <c r="D178">
        <v>967</v>
      </c>
      <c r="E178" t="s">
        <v>587</v>
      </c>
      <c r="F178">
        <v>4</v>
      </c>
      <c r="G178">
        <v>3</v>
      </c>
      <c r="H178">
        <v>1971</v>
      </c>
      <c r="I178">
        <v>1158500.7</v>
      </c>
      <c r="J178">
        <v>2465</v>
      </c>
      <c r="K178">
        <v>469.98</v>
      </c>
      <c r="L178">
        <f t="shared" si="2"/>
        <v>2019</v>
      </c>
      <c r="M178" s="3">
        <v>43650</v>
      </c>
      <c r="N178" t="s">
        <v>569</v>
      </c>
      <c r="O178" t="s">
        <v>573</v>
      </c>
      <c r="P178" t="s">
        <v>588</v>
      </c>
      <c r="Q178">
        <v>54</v>
      </c>
      <c r="R178">
        <v>1158500.7</v>
      </c>
      <c r="S178">
        <v>-122.301</v>
      </c>
      <c r="T178">
        <v>47.540999999999997</v>
      </c>
    </row>
    <row r="179" spans="1:20" x14ac:dyDescent="0.3">
      <c r="A179" t="s">
        <v>194</v>
      </c>
      <c r="B179" t="s">
        <v>267</v>
      </c>
      <c r="C179" t="s">
        <v>286</v>
      </c>
      <c r="D179">
        <v>787</v>
      </c>
      <c r="E179" t="s">
        <v>580</v>
      </c>
      <c r="F179">
        <v>2</v>
      </c>
      <c r="G179">
        <v>2</v>
      </c>
      <c r="H179">
        <v>1948</v>
      </c>
      <c r="I179">
        <v>597198.15</v>
      </c>
      <c r="J179">
        <v>1385</v>
      </c>
      <c r="K179">
        <v>431.19</v>
      </c>
      <c r="L179">
        <f t="shared" si="2"/>
        <v>2024</v>
      </c>
      <c r="M179" s="3">
        <v>45570</v>
      </c>
      <c r="N179" t="s">
        <v>566</v>
      </c>
      <c r="O179" t="s">
        <v>572</v>
      </c>
      <c r="P179" t="s">
        <v>589</v>
      </c>
      <c r="Q179">
        <v>1</v>
      </c>
      <c r="R179">
        <v>597198.15</v>
      </c>
      <c r="S179">
        <v>-122.27800000000001</v>
      </c>
      <c r="T179">
        <v>37.707999999999998</v>
      </c>
    </row>
    <row r="180" spans="1:20" x14ac:dyDescent="0.3">
      <c r="A180" t="s">
        <v>195</v>
      </c>
      <c r="B180" t="s">
        <v>276</v>
      </c>
      <c r="C180" t="s">
        <v>301</v>
      </c>
      <c r="D180">
        <v>348</v>
      </c>
      <c r="E180" t="s">
        <v>580</v>
      </c>
      <c r="F180">
        <v>2</v>
      </c>
      <c r="G180">
        <v>1</v>
      </c>
      <c r="H180">
        <v>1942</v>
      </c>
      <c r="I180">
        <v>756163.04</v>
      </c>
      <c r="J180">
        <v>1637</v>
      </c>
      <c r="K180">
        <v>461.92</v>
      </c>
      <c r="L180">
        <f t="shared" si="2"/>
        <v>2018</v>
      </c>
      <c r="M180" s="3">
        <v>43163</v>
      </c>
      <c r="N180" t="s">
        <v>567</v>
      </c>
      <c r="O180" t="s">
        <v>572</v>
      </c>
      <c r="P180" t="s">
        <v>588</v>
      </c>
      <c r="Q180">
        <v>9</v>
      </c>
      <c r="R180">
        <v>756163.04</v>
      </c>
      <c r="S180">
        <v>-87.697000000000003</v>
      </c>
      <c r="T180">
        <v>41.972000000000001</v>
      </c>
    </row>
    <row r="181" spans="1:20" x14ac:dyDescent="0.3">
      <c r="A181" t="s">
        <v>196</v>
      </c>
      <c r="B181" t="s">
        <v>276</v>
      </c>
      <c r="C181" t="s">
        <v>301</v>
      </c>
      <c r="D181">
        <v>609</v>
      </c>
      <c r="E181" t="s">
        <v>582</v>
      </c>
      <c r="F181">
        <v>2</v>
      </c>
      <c r="G181">
        <v>2</v>
      </c>
      <c r="H181">
        <v>1999</v>
      </c>
      <c r="I181">
        <v>850551.6</v>
      </c>
      <c r="J181">
        <v>1704</v>
      </c>
      <c r="K181">
        <v>499.15</v>
      </c>
      <c r="L181">
        <f t="shared" si="2"/>
        <v>2022</v>
      </c>
      <c r="M181" s="3">
        <v>44660</v>
      </c>
      <c r="N181" t="s">
        <v>569</v>
      </c>
      <c r="O181" t="s">
        <v>571</v>
      </c>
      <c r="P181" t="s">
        <v>577</v>
      </c>
      <c r="Q181">
        <v>17</v>
      </c>
      <c r="R181">
        <v>850551.6</v>
      </c>
      <c r="S181">
        <v>-87.668000000000006</v>
      </c>
      <c r="T181">
        <v>41.851999999999997</v>
      </c>
    </row>
    <row r="182" spans="1:20" x14ac:dyDescent="0.3">
      <c r="A182" t="s">
        <v>197</v>
      </c>
      <c r="B182" t="s">
        <v>267</v>
      </c>
      <c r="C182" t="s">
        <v>590</v>
      </c>
      <c r="D182">
        <v>666</v>
      </c>
      <c r="E182" t="s">
        <v>580</v>
      </c>
      <c r="F182">
        <v>3</v>
      </c>
      <c r="G182">
        <v>2</v>
      </c>
      <c r="H182">
        <v>1947</v>
      </c>
      <c r="I182">
        <v>981832.9800000001</v>
      </c>
      <c r="J182">
        <v>2309</v>
      </c>
      <c r="K182">
        <v>425.22</v>
      </c>
      <c r="L182">
        <f t="shared" si="2"/>
        <v>2022</v>
      </c>
      <c r="M182" s="3">
        <v>44796</v>
      </c>
      <c r="N182" t="s">
        <v>566</v>
      </c>
      <c r="O182" t="s">
        <v>571</v>
      </c>
      <c r="P182" t="s">
        <v>584</v>
      </c>
      <c r="Q182">
        <v>50</v>
      </c>
      <c r="R182">
        <v>981832.9800000001</v>
      </c>
      <c r="S182">
        <v>-122.401</v>
      </c>
      <c r="T182">
        <v>37.713999999999999</v>
      </c>
    </row>
    <row r="183" spans="1:20" x14ac:dyDescent="0.3">
      <c r="A183" t="s">
        <v>198</v>
      </c>
      <c r="B183" t="s">
        <v>274</v>
      </c>
      <c r="C183" t="s">
        <v>292</v>
      </c>
      <c r="D183">
        <v>445</v>
      </c>
      <c r="E183" t="s">
        <v>587</v>
      </c>
      <c r="F183">
        <v>3</v>
      </c>
      <c r="G183">
        <v>3</v>
      </c>
      <c r="H183">
        <v>1942</v>
      </c>
      <c r="I183">
        <v>1301340</v>
      </c>
      <c r="J183">
        <v>2460</v>
      </c>
      <c r="K183">
        <v>529</v>
      </c>
      <c r="L183">
        <f t="shared" si="2"/>
        <v>2022</v>
      </c>
      <c r="M183" s="3">
        <v>44656</v>
      </c>
      <c r="N183" t="s">
        <v>570</v>
      </c>
      <c r="O183" t="s">
        <v>572</v>
      </c>
      <c r="P183" t="s">
        <v>589</v>
      </c>
      <c r="Q183">
        <v>11</v>
      </c>
      <c r="R183" t="s">
        <v>585</v>
      </c>
      <c r="S183">
        <v>-118.209</v>
      </c>
      <c r="T183">
        <v>34.049999999999997</v>
      </c>
    </row>
    <row r="184" spans="1:20" x14ac:dyDescent="0.3">
      <c r="A184" t="s">
        <v>199</v>
      </c>
      <c r="B184" t="s">
        <v>270</v>
      </c>
      <c r="C184" t="s">
        <v>306</v>
      </c>
      <c r="D184">
        <v>757</v>
      </c>
      <c r="E184" t="s">
        <v>583</v>
      </c>
      <c r="F184">
        <v>4</v>
      </c>
      <c r="G184">
        <v>4</v>
      </c>
      <c r="H184">
        <v>2001</v>
      </c>
      <c r="I184">
        <v>1610886.24</v>
      </c>
      <c r="J184">
        <v>2544</v>
      </c>
      <c r="K184">
        <v>633.21</v>
      </c>
      <c r="L184">
        <f t="shared" si="2"/>
        <v>2019</v>
      </c>
      <c r="M184" s="3">
        <v>43794</v>
      </c>
      <c r="N184" t="s">
        <v>567</v>
      </c>
      <c r="O184" t="s">
        <v>572</v>
      </c>
      <c r="P184" t="s">
        <v>577</v>
      </c>
      <c r="Q184">
        <v>46</v>
      </c>
      <c r="R184" t="s">
        <v>585</v>
      </c>
      <c r="S184">
        <v>-73.927000000000007</v>
      </c>
      <c r="T184">
        <v>40.707999999999998</v>
      </c>
    </row>
    <row r="185" spans="1:20" x14ac:dyDescent="0.3">
      <c r="A185" t="s">
        <v>200</v>
      </c>
      <c r="B185" t="s">
        <v>273</v>
      </c>
      <c r="C185" t="s">
        <v>309</v>
      </c>
      <c r="D185">
        <v>109</v>
      </c>
      <c r="E185" t="s">
        <v>586</v>
      </c>
      <c r="F185">
        <v>1</v>
      </c>
      <c r="G185">
        <v>1</v>
      </c>
      <c r="H185">
        <v>1985</v>
      </c>
      <c r="I185">
        <v>675214.97</v>
      </c>
      <c r="J185">
        <v>1349</v>
      </c>
      <c r="K185">
        <v>500.53</v>
      </c>
      <c r="L185">
        <f t="shared" si="2"/>
        <v>2018</v>
      </c>
      <c r="M185" s="3">
        <v>43127</v>
      </c>
      <c r="N185" t="s">
        <v>569</v>
      </c>
      <c r="O185" t="s">
        <v>573</v>
      </c>
      <c r="P185" t="s">
        <v>581</v>
      </c>
      <c r="Q185">
        <v>30</v>
      </c>
      <c r="R185">
        <v>675214.97</v>
      </c>
      <c r="S185">
        <v>-122.76600000000001</v>
      </c>
      <c r="T185">
        <v>45.545999999999999</v>
      </c>
    </row>
    <row r="186" spans="1:20" x14ac:dyDescent="0.3">
      <c r="A186" t="s">
        <v>201</v>
      </c>
      <c r="B186" t="s">
        <v>273</v>
      </c>
      <c r="C186" t="s">
        <v>285</v>
      </c>
      <c r="D186">
        <v>839</v>
      </c>
      <c r="E186" t="s">
        <v>587</v>
      </c>
      <c r="F186">
        <v>3</v>
      </c>
      <c r="G186">
        <v>3</v>
      </c>
      <c r="H186">
        <v>1981</v>
      </c>
      <c r="I186">
        <v>1494712.96</v>
      </c>
      <c r="J186">
        <v>2392</v>
      </c>
      <c r="K186">
        <v>624.88</v>
      </c>
      <c r="L186">
        <f t="shared" si="2"/>
        <v>2023</v>
      </c>
      <c r="M186" s="3">
        <v>45099</v>
      </c>
      <c r="N186" t="s">
        <v>566</v>
      </c>
      <c r="O186" t="s">
        <v>573</v>
      </c>
      <c r="P186" t="s">
        <v>577</v>
      </c>
      <c r="Q186">
        <v>45</v>
      </c>
      <c r="R186" t="s">
        <v>585</v>
      </c>
      <c r="S186">
        <v>-122.77800000000001</v>
      </c>
      <c r="T186">
        <v>45.53</v>
      </c>
    </row>
    <row r="187" spans="1:20" x14ac:dyDescent="0.3">
      <c r="A187" t="s">
        <v>202</v>
      </c>
      <c r="B187" t="s">
        <v>273</v>
      </c>
      <c r="C187" t="s">
        <v>286</v>
      </c>
      <c r="D187">
        <v>639</v>
      </c>
      <c r="E187" t="s">
        <v>587</v>
      </c>
      <c r="F187">
        <v>1</v>
      </c>
      <c r="G187">
        <v>1</v>
      </c>
      <c r="H187">
        <v>1989</v>
      </c>
      <c r="I187">
        <v>692744.36</v>
      </c>
      <c r="J187">
        <v>1397</v>
      </c>
      <c r="K187">
        <v>495.88</v>
      </c>
      <c r="L187">
        <f t="shared" si="2"/>
        <v>2020</v>
      </c>
      <c r="M187" s="3">
        <v>43835</v>
      </c>
      <c r="N187" t="s">
        <v>566</v>
      </c>
      <c r="O187" t="s">
        <v>572</v>
      </c>
      <c r="P187" t="s">
        <v>577</v>
      </c>
      <c r="Q187">
        <v>22</v>
      </c>
      <c r="R187">
        <v>692744.36</v>
      </c>
      <c r="S187">
        <v>-122.732</v>
      </c>
      <c r="T187">
        <v>45.524999999999999</v>
      </c>
    </row>
    <row r="188" spans="1:20" x14ac:dyDescent="0.3">
      <c r="A188" t="s">
        <v>203</v>
      </c>
      <c r="B188" t="s">
        <v>269</v>
      </c>
      <c r="C188" t="s">
        <v>280</v>
      </c>
      <c r="D188">
        <v>769</v>
      </c>
      <c r="E188" t="s">
        <v>583</v>
      </c>
      <c r="F188">
        <v>4</v>
      </c>
      <c r="G188">
        <v>4</v>
      </c>
      <c r="H188">
        <v>1951</v>
      </c>
      <c r="I188">
        <v>1466987.97</v>
      </c>
      <c r="J188">
        <v>2499</v>
      </c>
      <c r="K188">
        <v>587.03</v>
      </c>
      <c r="L188">
        <f t="shared" si="2"/>
        <v>2024</v>
      </c>
      <c r="M188" s="3">
        <v>45415</v>
      </c>
      <c r="N188" t="s">
        <v>567</v>
      </c>
      <c r="O188" t="s">
        <v>574</v>
      </c>
      <c r="P188" t="s">
        <v>591</v>
      </c>
      <c r="Q188">
        <v>43</v>
      </c>
      <c r="R188" t="s">
        <v>585</v>
      </c>
      <c r="S188">
        <v>-104.953</v>
      </c>
      <c r="T188">
        <v>39.685000000000002</v>
      </c>
    </row>
    <row r="189" spans="1:20" x14ac:dyDescent="0.3">
      <c r="A189" t="s">
        <v>204</v>
      </c>
      <c r="B189" t="s">
        <v>267</v>
      </c>
      <c r="C189" t="s">
        <v>590</v>
      </c>
      <c r="D189">
        <v>679</v>
      </c>
      <c r="E189" t="s">
        <v>583</v>
      </c>
      <c r="F189">
        <v>4</v>
      </c>
      <c r="G189">
        <v>4</v>
      </c>
      <c r="H189">
        <v>1960</v>
      </c>
      <c r="I189">
        <v>1603727.7899999998</v>
      </c>
      <c r="J189">
        <v>2919</v>
      </c>
      <c r="K189">
        <v>549.41</v>
      </c>
      <c r="L189">
        <f t="shared" si="2"/>
        <v>2018</v>
      </c>
      <c r="M189" s="3">
        <v>43139</v>
      </c>
      <c r="N189" t="s">
        <v>567</v>
      </c>
      <c r="O189" t="s">
        <v>573</v>
      </c>
      <c r="P189" t="s">
        <v>584</v>
      </c>
      <c r="Q189">
        <v>25</v>
      </c>
      <c r="R189" t="s">
        <v>585</v>
      </c>
      <c r="S189">
        <v>-122.301</v>
      </c>
      <c r="T189">
        <v>37.838999999999999</v>
      </c>
    </row>
    <row r="190" spans="1:20" x14ac:dyDescent="0.3">
      <c r="A190" t="s">
        <v>205</v>
      </c>
      <c r="B190" t="s">
        <v>273</v>
      </c>
      <c r="C190" t="s">
        <v>309</v>
      </c>
      <c r="D190">
        <v>677</v>
      </c>
      <c r="E190" t="s">
        <v>583</v>
      </c>
      <c r="F190">
        <v>2</v>
      </c>
      <c r="G190">
        <v>2</v>
      </c>
      <c r="H190">
        <v>2011</v>
      </c>
      <c r="I190">
        <v>1159536</v>
      </c>
      <c r="J190">
        <v>2100</v>
      </c>
      <c r="K190">
        <v>552.16</v>
      </c>
      <c r="L190">
        <f t="shared" si="2"/>
        <v>2023</v>
      </c>
      <c r="M190" s="3">
        <v>45048</v>
      </c>
      <c r="N190" t="s">
        <v>568</v>
      </c>
      <c r="O190" t="s">
        <v>573</v>
      </c>
      <c r="P190" t="s">
        <v>577</v>
      </c>
      <c r="Q190">
        <v>26</v>
      </c>
      <c r="R190" t="s">
        <v>585</v>
      </c>
      <c r="S190">
        <v>-122.595</v>
      </c>
      <c r="T190">
        <v>45.435000000000002</v>
      </c>
    </row>
    <row r="191" spans="1:20" x14ac:dyDescent="0.3">
      <c r="A191" t="s">
        <v>206</v>
      </c>
      <c r="B191" t="s">
        <v>275</v>
      </c>
      <c r="C191" t="s">
        <v>308</v>
      </c>
      <c r="D191">
        <v>793</v>
      </c>
      <c r="E191" t="s">
        <v>580</v>
      </c>
      <c r="F191">
        <v>1</v>
      </c>
      <c r="G191">
        <v>1</v>
      </c>
      <c r="H191">
        <v>1975</v>
      </c>
      <c r="I191">
        <v>382574.4</v>
      </c>
      <c r="J191">
        <v>1248</v>
      </c>
      <c r="K191">
        <v>306.55</v>
      </c>
      <c r="L191">
        <f t="shared" si="2"/>
        <v>2022</v>
      </c>
      <c r="M191" s="3">
        <v>44732</v>
      </c>
      <c r="N191" t="s">
        <v>566</v>
      </c>
      <c r="O191" t="s">
        <v>571</v>
      </c>
      <c r="P191" t="s">
        <v>588</v>
      </c>
      <c r="Q191">
        <v>24</v>
      </c>
      <c r="R191">
        <v>382574.4</v>
      </c>
      <c r="S191">
        <v>-97.727000000000004</v>
      </c>
      <c r="T191">
        <v>30.283000000000001</v>
      </c>
    </row>
    <row r="192" spans="1:20" x14ac:dyDescent="0.3">
      <c r="A192" t="s">
        <v>207</v>
      </c>
      <c r="B192" t="s">
        <v>269</v>
      </c>
      <c r="C192" t="s">
        <v>288</v>
      </c>
      <c r="D192">
        <v>719</v>
      </c>
      <c r="E192" t="s">
        <v>580</v>
      </c>
      <c r="F192">
        <v>2</v>
      </c>
      <c r="G192">
        <v>1</v>
      </c>
      <c r="H192">
        <v>1988</v>
      </c>
      <c r="I192">
        <v>1008579.85</v>
      </c>
      <c r="J192">
        <v>1805</v>
      </c>
      <c r="K192">
        <v>558.77</v>
      </c>
      <c r="L192">
        <f t="shared" si="2"/>
        <v>2023</v>
      </c>
      <c r="M192" s="3">
        <v>45152</v>
      </c>
      <c r="N192" t="s">
        <v>568</v>
      </c>
      <c r="O192" t="s">
        <v>573</v>
      </c>
      <c r="P192" t="s">
        <v>584</v>
      </c>
      <c r="Q192">
        <v>44</v>
      </c>
      <c r="R192">
        <v>1008579.85</v>
      </c>
      <c r="S192">
        <v>-104.922</v>
      </c>
      <c r="T192">
        <v>39.726999999999997</v>
      </c>
    </row>
    <row r="193" spans="1:20" x14ac:dyDescent="0.3">
      <c r="A193" t="s">
        <v>208</v>
      </c>
      <c r="B193" t="s">
        <v>274</v>
      </c>
      <c r="C193" t="s">
        <v>292</v>
      </c>
      <c r="D193">
        <v>699</v>
      </c>
      <c r="E193" t="s">
        <v>582</v>
      </c>
      <c r="F193">
        <v>3</v>
      </c>
      <c r="G193">
        <v>3</v>
      </c>
      <c r="H193">
        <v>1934</v>
      </c>
      <c r="I193">
        <v>1365364.7</v>
      </c>
      <c r="J193">
        <v>2045</v>
      </c>
      <c r="K193">
        <v>667.66</v>
      </c>
      <c r="L193">
        <f t="shared" si="2"/>
        <v>2023</v>
      </c>
      <c r="M193" s="3">
        <v>45110</v>
      </c>
      <c r="N193" t="s">
        <v>567</v>
      </c>
      <c r="O193" t="s">
        <v>571</v>
      </c>
      <c r="P193" t="s">
        <v>589</v>
      </c>
      <c r="Q193">
        <v>31</v>
      </c>
      <c r="R193" t="s">
        <v>585</v>
      </c>
      <c r="S193">
        <v>-118.254</v>
      </c>
      <c r="T193">
        <v>34.137999999999998</v>
      </c>
    </row>
    <row r="194" spans="1:20" x14ac:dyDescent="0.3">
      <c r="A194" t="s">
        <v>209</v>
      </c>
      <c r="B194" t="s">
        <v>267</v>
      </c>
      <c r="C194" t="s">
        <v>286</v>
      </c>
      <c r="D194">
        <v>498</v>
      </c>
      <c r="E194" t="s">
        <v>587</v>
      </c>
      <c r="F194">
        <v>3</v>
      </c>
      <c r="G194">
        <v>2</v>
      </c>
      <c r="H194">
        <v>1991</v>
      </c>
      <c r="I194">
        <v>1066481.23</v>
      </c>
      <c r="J194">
        <v>2159</v>
      </c>
      <c r="K194">
        <v>493.97</v>
      </c>
      <c r="L194">
        <f t="shared" ref="L194:L251" si="3">YEAR(M:M)</f>
        <v>2018</v>
      </c>
      <c r="M194" s="3">
        <v>43437</v>
      </c>
      <c r="N194" t="s">
        <v>568</v>
      </c>
      <c r="O194" t="s">
        <v>573</v>
      </c>
      <c r="P194" t="s">
        <v>589</v>
      </c>
      <c r="Q194">
        <v>9</v>
      </c>
      <c r="R194">
        <v>1066481.23</v>
      </c>
      <c r="S194">
        <v>-122.303</v>
      </c>
      <c r="T194">
        <v>37.811999999999998</v>
      </c>
    </row>
    <row r="195" spans="1:20" x14ac:dyDescent="0.3">
      <c r="A195" t="s">
        <v>210</v>
      </c>
      <c r="B195" t="s">
        <v>269</v>
      </c>
      <c r="C195" t="s">
        <v>592</v>
      </c>
      <c r="D195">
        <v>668</v>
      </c>
      <c r="E195" t="s">
        <v>580</v>
      </c>
      <c r="F195">
        <v>1</v>
      </c>
      <c r="G195">
        <v>1</v>
      </c>
      <c r="H195">
        <v>1939</v>
      </c>
      <c r="I195">
        <v>837848.32000000007</v>
      </c>
      <c r="J195">
        <v>1786</v>
      </c>
      <c r="K195">
        <v>469.12</v>
      </c>
      <c r="L195">
        <f t="shared" si="3"/>
        <v>2022</v>
      </c>
      <c r="M195" s="3">
        <v>44575</v>
      </c>
      <c r="N195" t="s">
        <v>568</v>
      </c>
      <c r="O195" t="s">
        <v>573</v>
      </c>
      <c r="P195" t="s">
        <v>577</v>
      </c>
      <c r="Q195">
        <v>22</v>
      </c>
      <c r="R195">
        <v>837848.32000000007</v>
      </c>
      <c r="S195">
        <v>-105.004</v>
      </c>
      <c r="T195">
        <v>39.656999999999996</v>
      </c>
    </row>
    <row r="196" spans="1:20" x14ac:dyDescent="0.3">
      <c r="A196" t="s">
        <v>211</v>
      </c>
      <c r="B196" t="s">
        <v>272</v>
      </c>
      <c r="C196" t="s">
        <v>294</v>
      </c>
      <c r="D196">
        <v>497</v>
      </c>
      <c r="E196" t="s">
        <v>583</v>
      </c>
      <c r="F196">
        <v>1</v>
      </c>
      <c r="G196">
        <v>1</v>
      </c>
      <c r="H196">
        <v>1970</v>
      </c>
      <c r="I196">
        <v>916243.96</v>
      </c>
      <c r="J196">
        <v>1658</v>
      </c>
      <c r="K196">
        <v>552.62</v>
      </c>
      <c r="L196">
        <f t="shared" si="3"/>
        <v>2024</v>
      </c>
      <c r="M196" s="3">
        <v>45546</v>
      </c>
      <c r="N196" t="s">
        <v>570</v>
      </c>
      <c r="O196" t="s">
        <v>572</v>
      </c>
      <c r="P196" t="s">
        <v>588</v>
      </c>
      <c r="Q196">
        <v>40</v>
      </c>
      <c r="R196">
        <v>916243.96</v>
      </c>
      <c r="S196">
        <v>-80.287999999999997</v>
      </c>
      <c r="T196">
        <v>25.832999999999998</v>
      </c>
    </row>
    <row r="197" spans="1:20" x14ac:dyDescent="0.3">
      <c r="A197" t="s">
        <v>212</v>
      </c>
      <c r="B197" t="s">
        <v>273</v>
      </c>
      <c r="C197" t="s">
        <v>289</v>
      </c>
      <c r="D197">
        <v>545</v>
      </c>
      <c r="E197" t="s">
        <v>587</v>
      </c>
      <c r="F197">
        <v>5</v>
      </c>
      <c r="G197">
        <v>5</v>
      </c>
      <c r="H197">
        <v>1987</v>
      </c>
      <c r="I197">
        <v>1916247.98</v>
      </c>
      <c r="J197">
        <v>2762</v>
      </c>
      <c r="K197">
        <v>693.79</v>
      </c>
      <c r="L197">
        <f t="shared" si="3"/>
        <v>2019</v>
      </c>
      <c r="M197" s="3">
        <v>43795</v>
      </c>
      <c r="N197" t="s">
        <v>567</v>
      </c>
      <c r="O197" t="s">
        <v>571</v>
      </c>
      <c r="P197" t="s">
        <v>581</v>
      </c>
      <c r="Q197">
        <v>9</v>
      </c>
      <c r="R197" t="s">
        <v>585</v>
      </c>
      <c r="S197">
        <v>-122.751</v>
      </c>
      <c r="T197">
        <v>45.473999999999997</v>
      </c>
    </row>
    <row r="198" spans="1:20" x14ac:dyDescent="0.3">
      <c r="A198" t="s">
        <v>213</v>
      </c>
      <c r="B198" t="s">
        <v>272</v>
      </c>
      <c r="C198" t="s">
        <v>323</v>
      </c>
      <c r="D198">
        <v>106</v>
      </c>
      <c r="E198" t="s">
        <v>582</v>
      </c>
      <c r="F198">
        <v>4</v>
      </c>
      <c r="G198">
        <v>3</v>
      </c>
      <c r="H198">
        <v>1946</v>
      </c>
      <c r="I198">
        <v>1524793.28</v>
      </c>
      <c r="J198">
        <v>2608</v>
      </c>
      <c r="K198">
        <v>584.66</v>
      </c>
      <c r="L198">
        <f t="shared" si="3"/>
        <v>2020</v>
      </c>
      <c r="M198" s="3">
        <v>44111</v>
      </c>
      <c r="N198" t="s">
        <v>569</v>
      </c>
      <c r="O198" t="s">
        <v>571</v>
      </c>
      <c r="P198" t="s">
        <v>584</v>
      </c>
      <c r="Q198">
        <v>37</v>
      </c>
      <c r="R198" t="s">
        <v>585</v>
      </c>
      <c r="S198">
        <v>-80.269000000000005</v>
      </c>
      <c r="T198">
        <v>25.699000000000002</v>
      </c>
    </row>
    <row r="199" spans="1:20" x14ac:dyDescent="0.3">
      <c r="A199" t="s">
        <v>214</v>
      </c>
      <c r="B199" t="s">
        <v>269</v>
      </c>
      <c r="C199" t="s">
        <v>593</v>
      </c>
      <c r="D199">
        <v>407</v>
      </c>
      <c r="E199" t="s">
        <v>587</v>
      </c>
      <c r="F199">
        <v>4</v>
      </c>
      <c r="G199">
        <v>3</v>
      </c>
      <c r="H199">
        <v>1942</v>
      </c>
      <c r="I199">
        <v>1420789.28</v>
      </c>
      <c r="J199">
        <v>2281</v>
      </c>
      <c r="K199">
        <v>622.88</v>
      </c>
      <c r="L199">
        <f t="shared" si="3"/>
        <v>2021</v>
      </c>
      <c r="M199" s="3">
        <v>44472</v>
      </c>
      <c r="N199" t="s">
        <v>569</v>
      </c>
      <c r="O199" t="s">
        <v>572</v>
      </c>
      <c r="P199" t="s">
        <v>581</v>
      </c>
      <c r="Q199">
        <v>45</v>
      </c>
      <c r="R199" t="s">
        <v>585</v>
      </c>
      <c r="S199">
        <v>-104.895</v>
      </c>
      <c r="T199">
        <v>39.811999999999998</v>
      </c>
    </row>
    <row r="200" spans="1:20" x14ac:dyDescent="0.3">
      <c r="A200" t="s">
        <v>215</v>
      </c>
      <c r="B200" t="s">
        <v>274</v>
      </c>
      <c r="C200" t="s">
        <v>320</v>
      </c>
      <c r="D200">
        <v>936</v>
      </c>
      <c r="E200" t="s">
        <v>582</v>
      </c>
      <c r="F200">
        <v>4</v>
      </c>
      <c r="G200">
        <v>4</v>
      </c>
      <c r="H200">
        <v>1950</v>
      </c>
      <c r="I200">
        <v>1755844.06</v>
      </c>
      <c r="J200">
        <v>2659</v>
      </c>
      <c r="K200">
        <v>660.34</v>
      </c>
      <c r="L200">
        <f t="shared" si="3"/>
        <v>2021</v>
      </c>
      <c r="M200" s="3">
        <v>44294</v>
      </c>
      <c r="N200" t="s">
        <v>569</v>
      </c>
      <c r="O200" t="s">
        <v>574</v>
      </c>
      <c r="P200" t="s">
        <v>584</v>
      </c>
      <c r="Q200">
        <v>26</v>
      </c>
      <c r="R200" t="s">
        <v>585</v>
      </c>
      <c r="S200">
        <v>-118.27500000000001</v>
      </c>
      <c r="T200">
        <v>34.106000000000002</v>
      </c>
    </row>
    <row r="201" spans="1:20" x14ac:dyDescent="0.3">
      <c r="A201" t="s">
        <v>216</v>
      </c>
      <c r="B201" t="s">
        <v>269</v>
      </c>
      <c r="C201" t="s">
        <v>592</v>
      </c>
      <c r="D201">
        <v>916</v>
      </c>
      <c r="E201" t="s">
        <v>587</v>
      </c>
      <c r="F201">
        <v>5</v>
      </c>
      <c r="G201">
        <v>5</v>
      </c>
      <c r="H201">
        <v>1969</v>
      </c>
      <c r="I201">
        <v>1543360.2999999998</v>
      </c>
      <c r="J201">
        <v>2455</v>
      </c>
      <c r="K201">
        <v>628.66</v>
      </c>
      <c r="L201">
        <f t="shared" si="3"/>
        <v>2024</v>
      </c>
      <c r="M201" s="3">
        <v>45354</v>
      </c>
      <c r="N201" t="s">
        <v>566</v>
      </c>
      <c r="O201" t="s">
        <v>574</v>
      </c>
      <c r="P201" t="s">
        <v>588</v>
      </c>
      <c r="Q201">
        <v>46</v>
      </c>
      <c r="R201" t="s">
        <v>585</v>
      </c>
      <c r="S201">
        <v>-104.94799999999999</v>
      </c>
      <c r="T201">
        <v>39.731999999999999</v>
      </c>
    </row>
    <row r="202" spans="1:20" x14ac:dyDescent="0.3">
      <c r="A202" t="s">
        <v>217</v>
      </c>
      <c r="B202" t="s">
        <v>267</v>
      </c>
      <c r="C202" t="s">
        <v>590</v>
      </c>
      <c r="D202">
        <v>590</v>
      </c>
      <c r="E202" t="s">
        <v>580</v>
      </c>
      <c r="F202">
        <v>4</v>
      </c>
      <c r="G202">
        <v>4</v>
      </c>
      <c r="H202">
        <v>1938</v>
      </c>
      <c r="I202">
        <v>1246344.5999999999</v>
      </c>
      <c r="J202">
        <v>2589</v>
      </c>
      <c r="K202">
        <v>481.4</v>
      </c>
      <c r="L202">
        <f t="shared" si="3"/>
        <v>2020</v>
      </c>
      <c r="M202" s="3">
        <v>44135</v>
      </c>
      <c r="N202" t="s">
        <v>567</v>
      </c>
      <c r="O202" t="s">
        <v>572</v>
      </c>
      <c r="P202" t="s">
        <v>577</v>
      </c>
      <c r="Q202">
        <v>61</v>
      </c>
      <c r="R202" t="s">
        <v>585</v>
      </c>
      <c r="S202">
        <v>-122.41500000000001</v>
      </c>
      <c r="T202">
        <v>37.828000000000003</v>
      </c>
    </row>
    <row r="203" spans="1:20" x14ac:dyDescent="0.3">
      <c r="A203" t="s">
        <v>218</v>
      </c>
      <c r="B203" t="s">
        <v>272</v>
      </c>
      <c r="C203" t="s">
        <v>300</v>
      </c>
      <c r="D203">
        <v>708</v>
      </c>
      <c r="E203" t="s">
        <v>583</v>
      </c>
      <c r="F203">
        <v>5</v>
      </c>
      <c r="G203">
        <v>4</v>
      </c>
      <c r="H203">
        <v>2011</v>
      </c>
      <c r="I203">
        <v>2095208.1600000001</v>
      </c>
      <c r="J203">
        <v>3039</v>
      </c>
      <c r="K203">
        <v>689.44</v>
      </c>
      <c r="L203">
        <f t="shared" si="3"/>
        <v>2024</v>
      </c>
      <c r="M203" s="3">
        <v>45327</v>
      </c>
      <c r="N203" t="s">
        <v>566</v>
      </c>
      <c r="O203" t="s">
        <v>572</v>
      </c>
      <c r="P203" t="s">
        <v>577</v>
      </c>
      <c r="Q203">
        <v>91</v>
      </c>
      <c r="R203" t="s">
        <v>585</v>
      </c>
      <c r="S203">
        <v>-80.111000000000004</v>
      </c>
      <c r="T203">
        <v>25.731999999999999</v>
      </c>
    </row>
    <row r="204" spans="1:20" x14ac:dyDescent="0.3">
      <c r="A204" t="s">
        <v>219</v>
      </c>
      <c r="B204" t="s">
        <v>267</v>
      </c>
      <c r="C204" t="s">
        <v>311</v>
      </c>
      <c r="D204">
        <v>110</v>
      </c>
      <c r="E204" t="s">
        <v>583</v>
      </c>
      <c r="F204">
        <v>3</v>
      </c>
      <c r="G204">
        <v>3</v>
      </c>
      <c r="H204">
        <v>1978</v>
      </c>
      <c r="I204">
        <v>783834.21</v>
      </c>
      <c r="J204">
        <v>1907</v>
      </c>
      <c r="K204">
        <v>411.03</v>
      </c>
      <c r="L204">
        <f t="shared" si="3"/>
        <v>2024</v>
      </c>
      <c r="M204" s="3">
        <v>45407</v>
      </c>
      <c r="N204" t="s">
        <v>569</v>
      </c>
      <c r="O204" t="s">
        <v>574</v>
      </c>
      <c r="P204" t="s">
        <v>591</v>
      </c>
      <c r="Q204">
        <v>18</v>
      </c>
      <c r="R204">
        <v>783834.21</v>
      </c>
      <c r="S204">
        <v>-122.271</v>
      </c>
      <c r="T204">
        <v>37.735999999999997</v>
      </c>
    </row>
    <row r="205" spans="1:20" x14ac:dyDescent="0.3">
      <c r="A205" t="s">
        <v>220</v>
      </c>
      <c r="B205" t="s">
        <v>271</v>
      </c>
      <c r="C205" t="s">
        <v>299</v>
      </c>
      <c r="D205">
        <v>807</v>
      </c>
      <c r="E205" t="s">
        <v>580</v>
      </c>
      <c r="F205">
        <v>5</v>
      </c>
      <c r="G205">
        <v>4</v>
      </c>
      <c r="H205">
        <v>1971</v>
      </c>
      <c r="I205">
        <v>2034588.3800000001</v>
      </c>
      <c r="J205">
        <v>3074</v>
      </c>
      <c r="K205">
        <v>661.87</v>
      </c>
      <c r="L205">
        <f t="shared" si="3"/>
        <v>2024</v>
      </c>
      <c r="M205" s="3">
        <v>45457</v>
      </c>
      <c r="N205" t="s">
        <v>567</v>
      </c>
      <c r="O205" t="s">
        <v>571</v>
      </c>
      <c r="P205" t="s">
        <v>577</v>
      </c>
      <c r="Q205">
        <v>33</v>
      </c>
      <c r="R205" t="s">
        <v>585</v>
      </c>
      <c r="S205">
        <v>-71.006</v>
      </c>
      <c r="T205">
        <v>42.338000000000001</v>
      </c>
    </row>
    <row r="206" spans="1:20" x14ac:dyDescent="0.3">
      <c r="A206" t="s">
        <v>221</v>
      </c>
      <c r="B206" t="s">
        <v>275</v>
      </c>
      <c r="C206" t="s">
        <v>308</v>
      </c>
      <c r="D206">
        <v>566</v>
      </c>
      <c r="E206" t="s">
        <v>586</v>
      </c>
      <c r="F206">
        <v>1</v>
      </c>
      <c r="G206">
        <v>1</v>
      </c>
      <c r="H206">
        <v>1937</v>
      </c>
      <c r="I206">
        <v>548903.4</v>
      </c>
      <c r="J206">
        <v>1570</v>
      </c>
      <c r="K206">
        <v>349.62</v>
      </c>
      <c r="L206">
        <f t="shared" si="3"/>
        <v>2018</v>
      </c>
      <c r="M206" s="3">
        <v>43452</v>
      </c>
      <c r="N206" t="s">
        <v>566</v>
      </c>
      <c r="O206" t="s">
        <v>572</v>
      </c>
      <c r="P206" t="s">
        <v>584</v>
      </c>
      <c r="Q206">
        <v>108</v>
      </c>
      <c r="R206">
        <v>548903.4</v>
      </c>
      <c r="S206">
        <v>-97.77</v>
      </c>
      <c r="T206">
        <v>30.315999999999999</v>
      </c>
    </row>
    <row r="207" spans="1:20" x14ac:dyDescent="0.3">
      <c r="A207" t="s">
        <v>222</v>
      </c>
      <c r="B207" t="s">
        <v>273</v>
      </c>
      <c r="C207" t="s">
        <v>285</v>
      </c>
      <c r="D207">
        <v>763</v>
      </c>
      <c r="E207" t="s">
        <v>583</v>
      </c>
      <c r="F207">
        <v>3</v>
      </c>
      <c r="G207">
        <v>3</v>
      </c>
      <c r="H207">
        <v>1956</v>
      </c>
      <c r="I207">
        <v>1318705.96</v>
      </c>
      <c r="J207">
        <v>2132</v>
      </c>
      <c r="K207">
        <v>618.53</v>
      </c>
      <c r="L207">
        <f t="shared" si="3"/>
        <v>2021</v>
      </c>
      <c r="M207" s="3">
        <v>44407</v>
      </c>
      <c r="N207" t="s">
        <v>566</v>
      </c>
      <c r="O207" t="s">
        <v>571</v>
      </c>
      <c r="P207" t="s">
        <v>584</v>
      </c>
      <c r="Q207">
        <v>56</v>
      </c>
      <c r="R207" t="s">
        <v>585</v>
      </c>
      <c r="S207">
        <v>-122.75700000000001</v>
      </c>
      <c r="T207">
        <v>45.582000000000001</v>
      </c>
    </row>
    <row r="208" spans="1:20" x14ac:dyDescent="0.3">
      <c r="A208" t="s">
        <v>223</v>
      </c>
      <c r="B208" t="s">
        <v>267</v>
      </c>
      <c r="C208" t="s">
        <v>295</v>
      </c>
      <c r="D208">
        <v>290</v>
      </c>
      <c r="E208" t="s">
        <v>582</v>
      </c>
      <c r="F208">
        <v>5</v>
      </c>
      <c r="G208">
        <v>5</v>
      </c>
      <c r="H208">
        <v>1920</v>
      </c>
      <c r="I208">
        <v>1690872</v>
      </c>
      <c r="J208">
        <v>2820</v>
      </c>
      <c r="K208">
        <v>599.6</v>
      </c>
      <c r="L208">
        <f t="shared" si="3"/>
        <v>2024</v>
      </c>
      <c r="M208" s="3">
        <v>45394</v>
      </c>
      <c r="N208" t="s">
        <v>569</v>
      </c>
      <c r="O208" t="s">
        <v>574</v>
      </c>
      <c r="P208" t="s">
        <v>581</v>
      </c>
      <c r="Q208">
        <v>11</v>
      </c>
      <c r="R208" t="s">
        <v>585</v>
      </c>
      <c r="S208">
        <v>-97.759</v>
      </c>
      <c r="T208">
        <v>30.216000000000001</v>
      </c>
    </row>
    <row r="209" spans="1:20" x14ac:dyDescent="0.3">
      <c r="A209" t="s">
        <v>224</v>
      </c>
      <c r="B209" t="s">
        <v>272</v>
      </c>
      <c r="C209" t="s">
        <v>294</v>
      </c>
      <c r="D209">
        <v>928</v>
      </c>
      <c r="E209" t="s">
        <v>583</v>
      </c>
      <c r="F209">
        <v>5</v>
      </c>
      <c r="G209">
        <v>4</v>
      </c>
      <c r="H209">
        <v>1957</v>
      </c>
      <c r="I209">
        <v>2118206.06</v>
      </c>
      <c r="J209">
        <v>2818</v>
      </c>
      <c r="K209">
        <v>751.67</v>
      </c>
      <c r="L209">
        <f t="shared" si="3"/>
        <v>2022</v>
      </c>
      <c r="M209" s="3">
        <v>44860</v>
      </c>
      <c r="N209" t="s">
        <v>569</v>
      </c>
      <c r="O209" t="s">
        <v>573</v>
      </c>
      <c r="P209" t="s">
        <v>589</v>
      </c>
      <c r="Q209">
        <v>75</v>
      </c>
      <c r="R209" t="s">
        <v>585</v>
      </c>
      <c r="S209">
        <v>-80.233999999999995</v>
      </c>
      <c r="T209">
        <v>25.702999999999999</v>
      </c>
    </row>
    <row r="210" spans="1:20" x14ac:dyDescent="0.3">
      <c r="A210" t="s">
        <v>225</v>
      </c>
      <c r="B210" t="s">
        <v>274</v>
      </c>
      <c r="C210" t="s">
        <v>297</v>
      </c>
      <c r="D210">
        <v>420</v>
      </c>
      <c r="E210" t="s">
        <v>580</v>
      </c>
      <c r="F210">
        <v>5</v>
      </c>
      <c r="G210">
        <v>5</v>
      </c>
      <c r="H210">
        <v>1941</v>
      </c>
      <c r="I210">
        <v>2192485.58</v>
      </c>
      <c r="J210">
        <v>3098</v>
      </c>
      <c r="K210">
        <v>707.71</v>
      </c>
      <c r="L210">
        <f t="shared" si="3"/>
        <v>2023</v>
      </c>
      <c r="M210" s="3">
        <v>44975</v>
      </c>
      <c r="N210" t="s">
        <v>566</v>
      </c>
      <c r="O210" t="s">
        <v>571</v>
      </c>
      <c r="P210" t="s">
        <v>589</v>
      </c>
      <c r="Q210">
        <v>5</v>
      </c>
      <c r="R210" t="s">
        <v>585</v>
      </c>
      <c r="S210">
        <v>-118.23399999999999</v>
      </c>
      <c r="T210">
        <v>34.122999999999998</v>
      </c>
    </row>
    <row r="211" spans="1:20" x14ac:dyDescent="0.3">
      <c r="A211" t="s">
        <v>226</v>
      </c>
      <c r="B211" t="s">
        <v>272</v>
      </c>
      <c r="C211" t="s">
        <v>300</v>
      </c>
      <c r="D211">
        <v>704</v>
      </c>
      <c r="E211" t="s">
        <v>583</v>
      </c>
      <c r="F211">
        <v>4</v>
      </c>
      <c r="G211">
        <v>4</v>
      </c>
      <c r="H211">
        <v>1944</v>
      </c>
      <c r="I211">
        <v>1476574.01</v>
      </c>
      <c r="J211">
        <v>2369</v>
      </c>
      <c r="K211">
        <v>623.29</v>
      </c>
      <c r="L211">
        <f t="shared" si="3"/>
        <v>2023</v>
      </c>
      <c r="M211" s="3">
        <v>44976</v>
      </c>
      <c r="N211" t="s">
        <v>570</v>
      </c>
      <c r="O211" t="s">
        <v>573</v>
      </c>
      <c r="P211" t="s">
        <v>577</v>
      </c>
      <c r="Q211">
        <v>67</v>
      </c>
      <c r="R211" t="s">
        <v>585</v>
      </c>
      <c r="S211">
        <v>-80.13</v>
      </c>
      <c r="T211">
        <v>25.795000000000002</v>
      </c>
    </row>
    <row r="212" spans="1:20" x14ac:dyDescent="0.3">
      <c r="A212" t="s">
        <v>227</v>
      </c>
      <c r="B212" t="s">
        <v>275</v>
      </c>
      <c r="C212" t="s">
        <v>308</v>
      </c>
      <c r="D212">
        <v>533</v>
      </c>
      <c r="E212" t="s">
        <v>586</v>
      </c>
      <c r="F212">
        <v>1</v>
      </c>
      <c r="G212">
        <v>1</v>
      </c>
      <c r="H212">
        <v>1914</v>
      </c>
      <c r="I212">
        <v>477724.89</v>
      </c>
      <c r="J212">
        <v>1077</v>
      </c>
      <c r="K212">
        <v>443.57</v>
      </c>
      <c r="L212">
        <f t="shared" si="3"/>
        <v>2022</v>
      </c>
      <c r="M212" s="3">
        <v>44630</v>
      </c>
      <c r="N212" t="s">
        <v>567</v>
      </c>
      <c r="O212" t="s">
        <v>571</v>
      </c>
      <c r="P212" t="s">
        <v>588</v>
      </c>
      <c r="Q212">
        <v>30</v>
      </c>
      <c r="R212">
        <v>477724.89</v>
      </c>
      <c r="S212">
        <v>-97.811999999999998</v>
      </c>
      <c r="T212">
        <v>30.254000000000001</v>
      </c>
    </row>
    <row r="213" spans="1:20" x14ac:dyDescent="0.3">
      <c r="A213" t="s">
        <v>228</v>
      </c>
      <c r="B213" t="s">
        <v>270</v>
      </c>
      <c r="C213" t="s">
        <v>281</v>
      </c>
      <c r="D213">
        <v>109</v>
      </c>
      <c r="E213" t="s">
        <v>582</v>
      </c>
      <c r="F213">
        <v>2</v>
      </c>
      <c r="G213">
        <v>2</v>
      </c>
      <c r="H213">
        <v>1962</v>
      </c>
      <c r="I213">
        <v>845433.41</v>
      </c>
      <c r="J213">
        <v>1693</v>
      </c>
      <c r="K213">
        <v>499.37</v>
      </c>
      <c r="L213">
        <f t="shared" si="3"/>
        <v>2019</v>
      </c>
      <c r="M213" s="3">
        <v>43675</v>
      </c>
      <c r="N213" t="s">
        <v>567</v>
      </c>
      <c r="O213" t="s">
        <v>571</v>
      </c>
      <c r="P213" t="s">
        <v>584</v>
      </c>
      <c r="Q213">
        <v>14</v>
      </c>
      <c r="R213">
        <v>845433.41</v>
      </c>
      <c r="S213">
        <v>-74.099000000000004</v>
      </c>
      <c r="T213">
        <v>40.700000000000003</v>
      </c>
    </row>
    <row r="214" spans="1:20" x14ac:dyDescent="0.3">
      <c r="A214" t="s">
        <v>229</v>
      </c>
      <c r="B214" t="s">
        <v>275</v>
      </c>
      <c r="C214" t="s">
        <v>295</v>
      </c>
      <c r="D214">
        <v>678</v>
      </c>
      <c r="E214" t="s">
        <v>583</v>
      </c>
      <c r="F214">
        <v>4</v>
      </c>
      <c r="G214">
        <v>3</v>
      </c>
      <c r="H214">
        <v>1964</v>
      </c>
      <c r="I214">
        <v>1427488.6199999999</v>
      </c>
      <c r="J214">
        <v>2606</v>
      </c>
      <c r="K214">
        <v>547.77</v>
      </c>
      <c r="L214">
        <f t="shared" si="3"/>
        <v>2022</v>
      </c>
      <c r="M214" s="3">
        <v>44776</v>
      </c>
      <c r="N214" t="s">
        <v>569</v>
      </c>
      <c r="O214" t="s">
        <v>571</v>
      </c>
      <c r="P214" t="s">
        <v>591</v>
      </c>
      <c r="Q214">
        <v>3</v>
      </c>
      <c r="R214" t="s">
        <v>585</v>
      </c>
      <c r="S214">
        <v>-97.742000000000004</v>
      </c>
      <c r="T214">
        <v>30.338000000000001</v>
      </c>
    </row>
    <row r="215" spans="1:20" x14ac:dyDescent="0.3">
      <c r="A215" t="s">
        <v>230</v>
      </c>
      <c r="B215" t="s">
        <v>276</v>
      </c>
      <c r="C215" t="s">
        <v>317</v>
      </c>
      <c r="D215">
        <v>215</v>
      </c>
      <c r="E215" t="s">
        <v>580</v>
      </c>
      <c r="F215">
        <v>1</v>
      </c>
      <c r="G215">
        <v>1</v>
      </c>
      <c r="H215">
        <v>1968</v>
      </c>
      <c r="I215">
        <v>465790.07999999996</v>
      </c>
      <c r="J215">
        <v>1176</v>
      </c>
      <c r="K215">
        <v>396.08</v>
      </c>
      <c r="L215">
        <f t="shared" si="3"/>
        <v>2019</v>
      </c>
      <c r="M215" s="3">
        <v>43789</v>
      </c>
      <c r="N215" t="s">
        <v>569</v>
      </c>
      <c r="O215" t="s">
        <v>571</v>
      </c>
      <c r="P215" t="s">
        <v>577</v>
      </c>
      <c r="Q215">
        <v>85</v>
      </c>
      <c r="R215">
        <v>465790.07999999996</v>
      </c>
      <c r="S215">
        <v>-87.620999999999995</v>
      </c>
      <c r="T215">
        <v>41.935000000000002</v>
      </c>
    </row>
    <row r="216" spans="1:20" x14ac:dyDescent="0.3">
      <c r="A216" t="s">
        <v>231</v>
      </c>
      <c r="B216" t="s">
        <v>267</v>
      </c>
      <c r="C216" t="s">
        <v>285</v>
      </c>
      <c r="D216">
        <v>869</v>
      </c>
      <c r="E216" t="s">
        <v>586</v>
      </c>
      <c r="F216">
        <v>5</v>
      </c>
      <c r="G216">
        <v>4</v>
      </c>
      <c r="H216">
        <v>1946</v>
      </c>
      <c r="I216">
        <v>1359370.15</v>
      </c>
      <c r="J216">
        <v>2635</v>
      </c>
      <c r="K216">
        <v>515.89</v>
      </c>
      <c r="L216">
        <f t="shared" si="3"/>
        <v>2018</v>
      </c>
      <c r="M216" s="3">
        <v>43271</v>
      </c>
      <c r="N216" t="s">
        <v>569</v>
      </c>
      <c r="O216" t="s">
        <v>571</v>
      </c>
      <c r="P216" t="s">
        <v>589</v>
      </c>
      <c r="Q216">
        <v>27</v>
      </c>
      <c r="R216" t="s">
        <v>585</v>
      </c>
      <c r="S216">
        <v>-122.41</v>
      </c>
      <c r="T216">
        <v>37.868000000000002</v>
      </c>
    </row>
    <row r="217" spans="1:20" x14ac:dyDescent="0.3">
      <c r="A217" t="s">
        <v>232</v>
      </c>
      <c r="B217" t="s">
        <v>271</v>
      </c>
      <c r="C217" t="s">
        <v>283</v>
      </c>
      <c r="D217">
        <v>805</v>
      </c>
      <c r="E217" t="s">
        <v>587</v>
      </c>
      <c r="F217">
        <v>4</v>
      </c>
      <c r="G217">
        <v>4</v>
      </c>
      <c r="H217">
        <v>2010</v>
      </c>
      <c r="I217">
        <v>1086408.8400000001</v>
      </c>
      <c r="J217">
        <v>2332</v>
      </c>
      <c r="K217">
        <v>465.87</v>
      </c>
      <c r="L217">
        <f t="shared" si="3"/>
        <v>2022</v>
      </c>
      <c r="M217" s="3">
        <v>44899</v>
      </c>
      <c r="N217" t="s">
        <v>566</v>
      </c>
      <c r="O217" t="s">
        <v>572</v>
      </c>
      <c r="P217" t="s">
        <v>577</v>
      </c>
      <c r="Q217">
        <v>33</v>
      </c>
      <c r="R217">
        <v>1086408.8400000001</v>
      </c>
      <c r="S217">
        <v>-70.998000000000005</v>
      </c>
      <c r="T217">
        <v>42.307000000000002</v>
      </c>
    </row>
    <row r="218" spans="1:20" x14ac:dyDescent="0.3">
      <c r="A218" t="s">
        <v>233</v>
      </c>
      <c r="B218" t="s">
        <v>274</v>
      </c>
      <c r="C218" t="s">
        <v>292</v>
      </c>
      <c r="D218">
        <v>431</v>
      </c>
      <c r="E218" t="s">
        <v>587</v>
      </c>
      <c r="F218">
        <v>2</v>
      </c>
      <c r="G218">
        <v>1</v>
      </c>
      <c r="H218">
        <v>2000</v>
      </c>
      <c r="I218">
        <v>1052673.18</v>
      </c>
      <c r="J218">
        <v>1742</v>
      </c>
      <c r="K218">
        <v>604.29</v>
      </c>
      <c r="L218">
        <f t="shared" si="3"/>
        <v>2020</v>
      </c>
      <c r="M218" s="3">
        <v>43948</v>
      </c>
      <c r="N218" t="s">
        <v>566</v>
      </c>
      <c r="O218" t="s">
        <v>571</v>
      </c>
      <c r="P218" t="s">
        <v>581</v>
      </c>
      <c r="Q218">
        <v>90</v>
      </c>
      <c r="R218">
        <v>1052673.18</v>
      </c>
      <c r="S218">
        <v>-118.221</v>
      </c>
      <c r="T218">
        <v>34.055999999999997</v>
      </c>
    </row>
    <row r="219" spans="1:20" x14ac:dyDescent="0.3">
      <c r="A219" t="s">
        <v>234</v>
      </c>
      <c r="B219" t="s">
        <v>271</v>
      </c>
      <c r="C219" t="s">
        <v>287</v>
      </c>
      <c r="D219">
        <v>818</v>
      </c>
      <c r="E219" t="s">
        <v>586</v>
      </c>
      <c r="F219">
        <v>3</v>
      </c>
      <c r="G219">
        <v>2</v>
      </c>
      <c r="H219">
        <v>1965</v>
      </c>
      <c r="I219">
        <v>1222490.04</v>
      </c>
      <c r="J219">
        <v>2382</v>
      </c>
      <c r="K219">
        <v>513.22</v>
      </c>
      <c r="L219">
        <f t="shared" si="3"/>
        <v>2019</v>
      </c>
      <c r="M219" s="3">
        <v>43656</v>
      </c>
      <c r="N219" t="s">
        <v>569</v>
      </c>
      <c r="O219" t="s">
        <v>572</v>
      </c>
      <c r="P219" t="s">
        <v>581</v>
      </c>
      <c r="Q219">
        <v>1</v>
      </c>
      <c r="R219" t="s">
        <v>585</v>
      </c>
      <c r="S219">
        <v>-70.986999999999995</v>
      </c>
      <c r="T219">
        <v>42.457999999999998</v>
      </c>
    </row>
    <row r="220" spans="1:20" x14ac:dyDescent="0.3">
      <c r="A220" t="s">
        <v>235</v>
      </c>
      <c r="B220" t="s">
        <v>276</v>
      </c>
      <c r="C220" t="s">
        <v>305</v>
      </c>
      <c r="D220">
        <v>177</v>
      </c>
      <c r="E220" t="s">
        <v>583</v>
      </c>
      <c r="F220">
        <v>3</v>
      </c>
      <c r="G220">
        <v>2</v>
      </c>
      <c r="H220">
        <v>1997</v>
      </c>
      <c r="I220">
        <v>1410148.87</v>
      </c>
      <c r="J220">
        <v>2743</v>
      </c>
      <c r="K220">
        <v>514.09</v>
      </c>
      <c r="L220">
        <f t="shared" si="3"/>
        <v>2023</v>
      </c>
      <c r="M220" s="3">
        <v>45105</v>
      </c>
      <c r="N220" t="s">
        <v>567</v>
      </c>
      <c r="O220" t="s">
        <v>571</v>
      </c>
      <c r="P220" t="s">
        <v>588</v>
      </c>
      <c r="Q220">
        <v>35</v>
      </c>
      <c r="R220" t="s">
        <v>585</v>
      </c>
      <c r="S220">
        <v>-87.637</v>
      </c>
      <c r="T220">
        <v>41.834000000000003</v>
      </c>
    </row>
    <row r="221" spans="1:20" x14ac:dyDescent="0.3">
      <c r="A221" t="s">
        <v>236</v>
      </c>
      <c r="B221" t="s">
        <v>272</v>
      </c>
      <c r="C221" t="s">
        <v>300</v>
      </c>
      <c r="D221">
        <v>195</v>
      </c>
      <c r="E221" t="s">
        <v>582</v>
      </c>
      <c r="F221">
        <v>3</v>
      </c>
      <c r="G221">
        <v>2</v>
      </c>
      <c r="H221">
        <v>2012</v>
      </c>
      <c r="I221">
        <v>1214520</v>
      </c>
      <c r="J221">
        <v>2094</v>
      </c>
      <c r="K221">
        <v>580</v>
      </c>
      <c r="L221">
        <f t="shared" si="3"/>
        <v>2023</v>
      </c>
      <c r="M221" s="3">
        <v>44963</v>
      </c>
      <c r="N221" t="s">
        <v>569</v>
      </c>
      <c r="O221" t="s">
        <v>571</v>
      </c>
      <c r="P221" t="s">
        <v>589</v>
      </c>
      <c r="Q221">
        <v>30</v>
      </c>
      <c r="R221" t="s">
        <v>585</v>
      </c>
      <c r="S221">
        <v>-80.135000000000005</v>
      </c>
      <c r="T221">
        <v>25.66</v>
      </c>
    </row>
    <row r="222" spans="1:20" x14ac:dyDescent="0.3">
      <c r="A222" t="s">
        <v>237</v>
      </c>
      <c r="B222" t="s">
        <v>269</v>
      </c>
      <c r="C222" t="s">
        <v>592</v>
      </c>
      <c r="D222">
        <v>679</v>
      </c>
      <c r="E222" t="s">
        <v>582</v>
      </c>
      <c r="F222">
        <v>5</v>
      </c>
      <c r="G222">
        <v>5</v>
      </c>
      <c r="H222">
        <v>1954</v>
      </c>
      <c r="I222">
        <v>1599684.77</v>
      </c>
      <c r="J222">
        <v>2557</v>
      </c>
      <c r="K222">
        <v>625.61</v>
      </c>
      <c r="L222">
        <f t="shared" si="3"/>
        <v>2023</v>
      </c>
      <c r="M222" s="3">
        <v>45127</v>
      </c>
      <c r="N222" t="s">
        <v>568</v>
      </c>
      <c r="O222" t="s">
        <v>571</v>
      </c>
      <c r="P222" t="s">
        <v>581</v>
      </c>
      <c r="Q222">
        <v>34</v>
      </c>
      <c r="R222" t="s">
        <v>585</v>
      </c>
      <c r="S222">
        <v>-104.98099999999999</v>
      </c>
      <c r="T222">
        <v>39.697000000000003</v>
      </c>
    </row>
    <row r="223" spans="1:20" x14ac:dyDescent="0.3">
      <c r="A223" t="s">
        <v>238</v>
      </c>
      <c r="B223" t="s">
        <v>269</v>
      </c>
      <c r="C223" t="s">
        <v>592</v>
      </c>
      <c r="D223">
        <v>307</v>
      </c>
      <c r="E223" t="s">
        <v>586</v>
      </c>
      <c r="F223">
        <v>1</v>
      </c>
      <c r="G223">
        <v>1</v>
      </c>
      <c r="H223">
        <v>2000</v>
      </c>
      <c r="I223">
        <v>584364.88</v>
      </c>
      <c r="J223">
        <v>1364</v>
      </c>
      <c r="K223">
        <v>428.42</v>
      </c>
      <c r="L223">
        <f t="shared" si="3"/>
        <v>2018</v>
      </c>
      <c r="M223" s="3">
        <v>43167</v>
      </c>
      <c r="N223" t="s">
        <v>566</v>
      </c>
      <c r="O223" t="s">
        <v>572</v>
      </c>
      <c r="P223" t="s">
        <v>588</v>
      </c>
      <c r="Q223">
        <v>38</v>
      </c>
      <c r="R223">
        <v>584364.88</v>
      </c>
      <c r="S223">
        <v>-104.999</v>
      </c>
      <c r="T223">
        <v>39.671999999999997</v>
      </c>
    </row>
    <row r="224" spans="1:20" x14ac:dyDescent="0.3">
      <c r="A224" t="s">
        <v>239</v>
      </c>
      <c r="B224" t="s">
        <v>271</v>
      </c>
      <c r="C224" t="s">
        <v>299</v>
      </c>
      <c r="D224">
        <v>412</v>
      </c>
      <c r="E224" t="s">
        <v>586</v>
      </c>
      <c r="F224">
        <v>3</v>
      </c>
      <c r="G224">
        <v>3</v>
      </c>
      <c r="H224">
        <v>1946</v>
      </c>
      <c r="I224">
        <v>1197656.6400000001</v>
      </c>
      <c r="J224">
        <v>2036</v>
      </c>
      <c r="K224">
        <v>588.24</v>
      </c>
      <c r="L224">
        <f t="shared" si="3"/>
        <v>2018</v>
      </c>
      <c r="M224" s="3">
        <v>43438</v>
      </c>
      <c r="N224" t="s">
        <v>568</v>
      </c>
      <c r="O224" t="s">
        <v>571</v>
      </c>
      <c r="P224" t="s">
        <v>589</v>
      </c>
      <c r="Q224">
        <v>44</v>
      </c>
      <c r="R224" t="s">
        <v>585</v>
      </c>
      <c r="S224">
        <v>-71.150000000000006</v>
      </c>
      <c r="T224">
        <v>42.39</v>
      </c>
    </row>
    <row r="225" spans="1:20" x14ac:dyDescent="0.3">
      <c r="A225" t="s">
        <v>240</v>
      </c>
      <c r="B225" t="s">
        <v>272</v>
      </c>
      <c r="C225" t="s">
        <v>294</v>
      </c>
      <c r="D225">
        <v>451</v>
      </c>
      <c r="E225" t="s">
        <v>583</v>
      </c>
      <c r="F225">
        <v>1</v>
      </c>
      <c r="G225">
        <v>1</v>
      </c>
      <c r="H225">
        <v>1961</v>
      </c>
      <c r="I225">
        <v>907066.8</v>
      </c>
      <c r="J225">
        <v>1773</v>
      </c>
      <c r="K225">
        <v>511.6</v>
      </c>
      <c r="L225">
        <f t="shared" si="3"/>
        <v>2019</v>
      </c>
      <c r="M225" s="3">
        <v>43644</v>
      </c>
      <c r="N225" t="s">
        <v>570</v>
      </c>
      <c r="O225" t="s">
        <v>573</v>
      </c>
      <c r="P225" t="s">
        <v>589</v>
      </c>
      <c r="Q225">
        <v>27</v>
      </c>
      <c r="R225">
        <v>907066.8</v>
      </c>
      <c r="S225">
        <v>-80.287999999999997</v>
      </c>
      <c r="T225">
        <v>25.795999999999999</v>
      </c>
    </row>
    <row r="226" spans="1:20" x14ac:dyDescent="0.3">
      <c r="A226" t="s">
        <v>241</v>
      </c>
      <c r="B226" t="s">
        <v>272</v>
      </c>
      <c r="C226" t="s">
        <v>298</v>
      </c>
      <c r="D226">
        <v>756</v>
      </c>
      <c r="E226" t="s">
        <v>586</v>
      </c>
      <c r="F226">
        <v>4</v>
      </c>
      <c r="G226">
        <v>4</v>
      </c>
      <c r="H226">
        <v>1949</v>
      </c>
      <c r="I226">
        <v>1385831.46</v>
      </c>
      <c r="J226">
        <v>2314</v>
      </c>
      <c r="K226">
        <v>598.89</v>
      </c>
      <c r="L226">
        <f t="shared" si="3"/>
        <v>2019</v>
      </c>
      <c r="M226" s="3">
        <v>43520</v>
      </c>
      <c r="N226" t="s">
        <v>566</v>
      </c>
      <c r="O226" t="s">
        <v>571</v>
      </c>
      <c r="P226" t="s">
        <v>581</v>
      </c>
      <c r="Q226">
        <v>7</v>
      </c>
      <c r="R226" t="s">
        <v>585</v>
      </c>
      <c r="S226">
        <v>-80.263000000000005</v>
      </c>
      <c r="T226">
        <v>25.835999999999999</v>
      </c>
    </row>
    <row r="227" spans="1:20" x14ac:dyDescent="0.3">
      <c r="A227" t="s">
        <v>242</v>
      </c>
      <c r="B227" t="s">
        <v>267</v>
      </c>
      <c r="C227" t="s">
        <v>286</v>
      </c>
      <c r="D227">
        <v>730</v>
      </c>
      <c r="E227" t="s">
        <v>582</v>
      </c>
      <c r="F227">
        <v>5</v>
      </c>
      <c r="G227">
        <v>5</v>
      </c>
      <c r="H227">
        <v>1983</v>
      </c>
      <c r="I227">
        <v>1308908.8599999999</v>
      </c>
      <c r="J227">
        <v>2506</v>
      </c>
      <c r="K227">
        <v>522.30999999999995</v>
      </c>
      <c r="L227">
        <f t="shared" si="3"/>
        <v>2022</v>
      </c>
      <c r="M227" s="3">
        <v>44903</v>
      </c>
      <c r="N227" t="s">
        <v>568</v>
      </c>
      <c r="O227" t="s">
        <v>572</v>
      </c>
      <c r="P227" t="s">
        <v>588</v>
      </c>
      <c r="Q227">
        <v>87</v>
      </c>
      <c r="R227" t="s">
        <v>585</v>
      </c>
      <c r="S227">
        <v>-122.4</v>
      </c>
      <c r="T227">
        <v>37.795999999999999</v>
      </c>
    </row>
    <row r="228" spans="1:20" x14ac:dyDescent="0.3">
      <c r="A228" t="s">
        <v>243</v>
      </c>
      <c r="B228" t="s">
        <v>276</v>
      </c>
      <c r="C228" t="s">
        <v>307</v>
      </c>
      <c r="D228">
        <v>760</v>
      </c>
      <c r="E228" t="s">
        <v>583</v>
      </c>
      <c r="F228">
        <v>1</v>
      </c>
      <c r="G228">
        <v>1</v>
      </c>
      <c r="H228">
        <v>1915</v>
      </c>
      <c r="I228">
        <v>818014.5</v>
      </c>
      <c r="J228">
        <v>1734</v>
      </c>
      <c r="K228">
        <v>471.75</v>
      </c>
      <c r="L228">
        <f t="shared" si="3"/>
        <v>2022</v>
      </c>
      <c r="M228" s="3">
        <v>44673</v>
      </c>
      <c r="N228" t="s">
        <v>568</v>
      </c>
      <c r="O228" t="s">
        <v>574</v>
      </c>
      <c r="P228" t="s">
        <v>584</v>
      </c>
      <c r="Q228">
        <v>56</v>
      </c>
      <c r="R228">
        <v>818014.5</v>
      </c>
      <c r="S228">
        <v>-87.691999999999993</v>
      </c>
      <c r="T228">
        <v>41.843000000000004</v>
      </c>
    </row>
    <row r="229" spans="1:20" x14ac:dyDescent="0.3">
      <c r="A229" t="s">
        <v>244</v>
      </c>
      <c r="B229" t="s">
        <v>276</v>
      </c>
      <c r="C229" t="s">
        <v>318</v>
      </c>
      <c r="D229">
        <v>402</v>
      </c>
      <c r="E229" t="s">
        <v>583</v>
      </c>
      <c r="F229">
        <v>5</v>
      </c>
      <c r="G229">
        <v>4</v>
      </c>
      <c r="H229">
        <v>1977</v>
      </c>
      <c r="I229">
        <v>1422872.1</v>
      </c>
      <c r="J229">
        <v>2418</v>
      </c>
      <c r="K229">
        <v>588.45000000000005</v>
      </c>
      <c r="L229">
        <f t="shared" si="3"/>
        <v>2018</v>
      </c>
      <c r="M229" s="3">
        <v>43210</v>
      </c>
      <c r="N229" t="s">
        <v>568</v>
      </c>
      <c r="O229" t="s">
        <v>573</v>
      </c>
      <c r="P229" t="s">
        <v>588</v>
      </c>
      <c r="Q229">
        <v>49</v>
      </c>
      <c r="R229" t="s">
        <v>585</v>
      </c>
      <c r="S229">
        <v>-87.682000000000002</v>
      </c>
      <c r="T229">
        <v>41.901000000000003</v>
      </c>
    </row>
    <row r="230" spans="1:20" x14ac:dyDescent="0.3">
      <c r="A230" t="s">
        <v>245</v>
      </c>
      <c r="B230" t="s">
        <v>276</v>
      </c>
      <c r="C230" t="s">
        <v>301</v>
      </c>
      <c r="D230">
        <v>235</v>
      </c>
      <c r="E230" t="s">
        <v>582</v>
      </c>
      <c r="F230">
        <v>4</v>
      </c>
      <c r="G230">
        <v>4</v>
      </c>
      <c r="H230">
        <v>1963</v>
      </c>
      <c r="I230">
        <v>1252295.76</v>
      </c>
      <c r="J230">
        <v>2094</v>
      </c>
      <c r="K230">
        <v>598.04</v>
      </c>
      <c r="L230">
        <f t="shared" si="3"/>
        <v>2018</v>
      </c>
      <c r="M230" s="3">
        <v>43391</v>
      </c>
      <c r="N230" t="s">
        <v>570</v>
      </c>
      <c r="O230" t="s">
        <v>572</v>
      </c>
      <c r="P230" t="s">
        <v>584</v>
      </c>
      <c r="Q230">
        <v>27</v>
      </c>
      <c r="R230" t="s">
        <v>585</v>
      </c>
      <c r="S230">
        <v>-87.647999999999996</v>
      </c>
      <c r="T230">
        <v>41.781999999999996</v>
      </c>
    </row>
    <row r="231" spans="1:20" x14ac:dyDescent="0.3">
      <c r="A231" t="s">
        <v>246</v>
      </c>
      <c r="B231" t="s">
        <v>274</v>
      </c>
      <c r="C231" t="s">
        <v>292</v>
      </c>
      <c r="D231">
        <v>908</v>
      </c>
      <c r="E231" t="s">
        <v>582</v>
      </c>
      <c r="F231">
        <v>3</v>
      </c>
      <c r="G231">
        <v>3</v>
      </c>
      <c r="H231">
        <v>1922</v>
      </c>
      <c r="I231">
        <v>1330820.52</v>
      </c>
      <c r="J231">
        <v>2006</v>
      </c>
      <c r="K231">
        <v>663.42</v>
      </c>
      <c r="L231">
        <f t="shared" si="3"/>
        <v>2018</v>
      </c>
      <c r="M231" s="3">
        <v>43399</v>
      </c>
      <c r="N231" t="s">
        <v>566</v>
      </c>
      <c r="O231" t="s">
        <v>571</v>
      </c>
      <c r="P231" t="s">
        <v>591</v>
      </c>
      <c r="Q231">
        <v>48</v>
      </c>
      <c r="R231" t="s">
        <v>585</v>
      </c>
      <c r="S231">
        <v>-118.297</v>
      </c>
      <c r="T231">
        <v>33.953000000000003</v>
      </c>
    </row>
    <row r="232" spans="1:20" x14ac:dyDescent="0.3">
      <c r="A232" t="s">
        <v>247</v>
      </c>
      <c r="B232" t="s">
        <v>273</v>
      </c>
      <c r="C232" t="s">
        <v>286</v>
      </c>
      <c r="D232">
        <v>623</v>
      </c>
      <c r="E232" t="s">
        <v>586</v>
      </c>
      <c r="F232">
        <v>5</v>
      </c>
      <c r="G232">
        <v>4</v>
      </c>
      <c r="H232">
        <v>1954</v>
      </c>
      <c r="I232">
        <v>1979528.4000000001</v>
      </c>
      <c r="J232">
        <v>2610</v>
      </c>
      <c r="K232">
        <v>758.44</v>
      </c>
      <c r="L232">
        <f t="shared" si="3"/>
        <v>2018</v>
      </c>
      <c r="M232" s="3">
        <v>43438</v>
      </c>
      <c r="N232" t="s">
        <v>570</v>
      </c>
      <c r="O232" t="s">
        <v>571</v>
      </c>
      <c r="P232" t="s">
        <v>591</v>
      </c>
      <c r="Q232">
        <v>2</v>
      </c>
      <c r="R232" t="s">
        <v>585</v>
      </c>
      <c r="S232">
        <v>-122.76300000000001</v>
      </c>
      <c r="T232">
        <v>45.451000000000001</v>
      </c>
    </row>
    <row r="233" spans="1:20" x14ac:dyDescent="0.3">
      <c r="A233" t="s">
        <v>248</v>
      </c>
      <c r="B233" t="s">
        <v>275</v>
      </c>
      <c r="C233" t="s">
        <v>302</v>
      </c>
      <c r="D233">
        <v>544</v>
      </c>
      <c r="E233" t="s">
        <v>583</v>
      </c>
      <c r="F233">
        <v>3</v>
      </c>
      <c r="G233">
        <v>3</v>
      </c>
      <c r="H233">
        <v>1981</v>
      </c>
      <c r="I233">
        <v>1142890.7</v>
      </c>
      <c r="J233">
        <v>2254</v>
      </c>
      <c r="K233">
        <v>507.05</v>
      </c>
      <c r="L233">
        <f t="shared" si="3"/>
        <v>2021</v>
      </c>
      <c r="M233" s="3">
        <v>44371</v>
      </c>
      <c r="N233" t="s">
        <v>569</v>
      </c>
      <c r="O233" t="s">
        <v>572</v>
      </c>
      <c r="P233" t="s">
        <v>591</v>
      </c>
      <c r="Q233">
        <v>25</v>
      </c>
      <c r="R233">
        <v>1142890.7</v>
      </c>
      <c r="S233">
        <v>-97.828000000000003</v>
      </c>
      <c r="T233">
        <v>30.338999999999999</v>
      </c>
    </row>
    <row r="234" spans="1:20" x14ac:dyDescent="0.3">
      <c r="A234" t="s">
        <v>249</v>
      </c>
      <c r="B234" t="s">
        <v>270</v>
      </c>
      <c r="C234" t="s">
        <v>281</v>
      </c>
      <c r="D234">
        <v>635</v>
      </c>
      <c r="E234" t="s">
        <v>580</v>
      </c>
      <c r="F234">
        <v>5</v>
      </c>
      <c r="G234">
        <v>5</v>
      </c>
      <c r="H234">
        <v>1985</v>
      </c>
      <c r="I234">
        <v>1771994.9000000001</v>
      </c>
      <c r="J234">
        <v>2782</v>
      </c>
      <c r="K234">
        <v>636.95000000000005</v>
      </c>
      <c r="L234">
        <f t="shared" si="3"/>
        <v>2019</v>
      </c>
      <c r="M234" s="3">
        <v>43590</v>
      </c>
      <c r="N234" t="s">
        <v>566</v>
      </c>
      <c r="O234" t="s">
        <v>572</v>
      </c>
      <c r="P234" t="s">
        <v>584</v>
      </c>
      <c r="Q234">
        <v>62</v>
      </c>
      <c r="R234" t="s">
        <v>585</v>
      </c>
      <c r="S234">
        <v>-74.076999999999998</v>
      </c>
      <c r="T234">
        <v>40.75</v>
      </c>
    </row>
    <row r="235" spans="1:20" x14ac:dyDescent="0.3">
      <c r="A235" t="s">
        <v>250</v>
      </c>
      <c r="B235" t="s">
        <v>271</v>
      </c>
      <c r="C235" t="s">
        <v>299</v>
      </c>
      <c r="D235">
        <v>829</v>
      </c>
      <c r="E235" t="s">
        <v>580</v>
      </c>
      <c r="F235">
        <v>3</v>
      </c>
      <c r="G235">
        <v>3</v>
      </c>
      <c r="H235">
        <v>1999</v>
      </c>
      <c r="I235">
        <v>1043103.36</v>
      </c>
      <c r="J235">
        <v>2054</v>
      </c>
      <c r="K235">
        <v>507.84</v>
      </c>
      <c r="L235">
        <f t="shared" si="3"/>
        <v>2019</v>
      </c>
      <c r="M235" s="3">
        <v>43584</v>
      </c>
      <c r="N235" t="s">
        <v>566</v>
      </c>
      <c r="O235" t="s">
        <v>571</v>
      </c>
      <c r="P235" t="s">
        <v>584</v>
      </c>
      <c r="Q235">
        <v>66</v>
      </c>
      <c r="R235">
        <v>1043103.36</v>
      </c>
      <c r="S235">
        <v>-71.055000000000007</v>
      </c>
      <c r="T235">
        <v>42.345999999999997</v>
      </c>
    </row>
    <row r="236" spans="1:20" x14ac:dyDescent="0.3">
      <c r="A236" t="s">
        <v>251</v>
      </c>
      <c r="B236" t="s">
        <v>267</v>
      </c>
      <c r="C236" t="s">
        <v>590</v>
      </c>
      <c r="D236">
        <v>790</v>
      </c>
      <c r="E236" t="s">
        <v>583</v>
      </c>
      <c r="F236">
        <v>4</v>
      </c>
      <c r="G236">
        <v>4</v>
      </c>
      <c r="H236">
        <v>1907</v>
      </c>
      <c r="I236">
        <v>1044679.52</v>
      </c>
      <c r="J236">
        <v>2224</v>
      </c>
      <c r="K236">
        <v>469.73</v>
      </c>
      <c r="L236">
        <f t="shared" si="3"/>
        <v>2024</v>
      </c>
      <c r="M236" s="3">
        <v>45422</v>
      </c>
      <c r="N236" t="s">
        <v>567</v>
      </c>
      <c r="O236" t="s">
        <v>571</v>
      </c>
      <c r="P236" t="s">
        <v>577</v>
      </c>
      <c r="Q236">
        <v>11</v>
      </c>
      <c r="R236">
        <v>1044679.52</v>
      </c>
      <c r="S236">
        <v>-122.40900000000001</v>
      </c>
      <c r="T236">
        <v>37.720999999999997</v>
      </c>
    </row>
    <row r="237" spans="1:20" x14ac:dyDescent="0.3">
      <c r="A237" t="s">
        <v>252</v>
      </c>
      <c r="B237" t="s">
        <v>276</v>
      </c>
      <c r="C237" t="s">
        <v>318</v>
      </c>
      <c r="D237">
        <v>666</v>
      </c>
      <c r="E237" t="s">
        <v>582</v>
      </c>
      <c r="F237">
        <v>1</v>
      </c>
      <c r="G237">
        <v>1</v>
      </c>
      <c r="H237">
        <v>2010</v>
      </c>
      <c r="I237">
        <v>573871.76</v>
      </c>
      <c r="J237">
        <v>1652</v>
      </c>
      <c r="K237">
        <v>347.38</v>
      </c>
      <c r="L237">
        <f t="shared" si="3"/>
        <v>2020</v>
      </c>
      <c r="M237" s="3">
        <v>44102</v>
      </c>
      <c r="N237" t="s">
        <v>566</v>
      </c>
      <c r="O237" t="s">
        <v>571</v>
      </c>
      <c r="P237" t="s">
        <v>591</v>
      </c>
      <c r="Q237">
        <v>87</v>
      </c>
      <c r="R237">
        <v>573871.76</v>
      </c>
      <c r="S237">
        <v>-87.69</v>
      </c>
      <c r="T237">
        <v>41.856999999999999</v>
      </c>
    </row>
    <row r="238" spans="1:20" x14ac:dyDescent="0.3">
      <c r="A238" t="s">
        <v>253</v>
      </c>
      <c r="B238" t="s">
        <v>276</v>
      </c>
      <c r="C238" t="s">
        <v>317</v>
      </c>
      <c r="D238">
        <v>283</v>
      </c>
      <c r="E238" t="s">
        <v>586</v>
      </c>
      <c r="F238">
        <v>2</v>
      </c>
      <c r="G238">
        <v>2</v>
      </c>
      <c r="H238">
        <v>1992</v>
      </c>
      <c r="I238">
        <v>676812.80000000005</v>
      </c>
      <c r="J238">
        <v>1280</v>
      </c>
      <c r="K238">
        <v>528.76</v>
      </c>
      <c r="L238">
        <f t="shared" si="3"/>
        <v>2021</v>
      </c>
      <c r="M238" s="3">
        <v>44212</v>
      </c>
      <c r="N238" t="s">
        <v>566</v>
      </c>
      <c r="O238" t="s">
        <v>571</v>
      </c>
      <c r="P238" t="s">
        <v>591</v>
      </c>
      <c r="Q238">
        <v>41</v>
      </c>
      <c r="R238">
        <v>676812.80000000005</v>
      </c>
      <c r="S238">
        <v>-87.584999999999994</v>
      </c>
      <c r="T238">
        <v>41.804000000000002</v>
      </c>
    </row>
    <row r="239" spans="1:20" x14ac:dyDescent="0.3">
      <c r="A239" t="s">
        <v>254</v>
      </c>
      <c r="B239" t="s">
        <v>273</v>
      </c>
      <c r="C239" t="s">
        <v>309</v>
      </c>
      <c r="D239">
        <v>677</v>
      </c>
      <c r="E239" t="s">
        <v>587</v>
      </c>
      <c r="F239">
        <v>4</v>
      </c>
      <c r="G239">
        <v>4</v>
      </c>
      <c r="H239">
        <v>1959</v>
      </c>
      <c r="I239">
        <v>1514391.12</v>
      </c>
      <c r="J239">
        <v>2376</v>
      </c>
      <c r="K239">
        <v>637.37</v>
      </c>
      <c r="L239">
        <f t="shared" si="3"/>
        <v>2021</v>
      </c>
      <c r="M239" s="3">
        <v>44373</v>
      </c>
      <c r="N239" t="s">
        <v>568</v>
      </c>
      <c r="O239" t="s">
        <v>573</v>
      </c>
      <c r="P239" t="s">
        <v>584</v>
      </c>
      <c r="Q239">
        <v>46</v>
      </c>
      <c r="R239" t="s">
        <v>585</v>
      </c>
      <c r="S239">
        <v>-122.706</v>
      </c>
      <c r="T239">
        <v>45.511000000000003</v>
      </c>
    </row>
    <row r="240" spans="1:20" x14ac:dyDescent="0.3">
      <c r="A240" t="s">
        <v>255</v>
      </c>
      <c r="B240" t="s">
        <v>274</v>
      </c>
      <c r="C240" t="s">
        <v>320</v>
      </c>
      <c r="D240">
        <v>454</v>
      </c>
      <c r="E240" t="s">
        <v>583</v>
      </c>
      <c r="F240">
        <v>4</v>
      </c>
      <c r="G240">
        <v>4</v>
      </c>
      <c r="H240">
        <v>1963</v>
      </c>
      <c r="I240">
        <v>1723887.09</v>
      </c>
      <c r="J240">
        <v>2391</v>
      </c>
      <c r="K240">
        <v>720.99</v>
      </c>
      <c r="L240">
        <f t="shared" si="3"/>
        <v>2024</v>
      </c>
      <c r="M240" s="3">
        <v>45339</v>
      </c>
      <c r="N240" t="s">
        <v>567</v>
      </c>
      <c r="O240" t="s">
        <v>573</v>
      </c>
      <c r="P240" t="s">
        <v>577</v>
      </c>
      <c r="Q240">
        <v>38</v>
      </c>
      <c r="R240" t="s">
        <v>585</v>
      </c>
      <c r="S240">
        <v>-118.33499999999999</v>
      </c>
      <c r="T240">
        <v>34.136000000000003</v>
      </c>
    </row>
    <row r="241" spans="1:20" x14ac:dyDescent="0.3">
      <c r="A241" t="s">
        <v>256</v>
      </c>
      <c r="B241" t="s">
        <v>269</v>
      </c>
      <c r="C241" t="s">
        <v>592</v>
      </c>
      <c r="D241">
        <v>245</v>
      </c>
      <c r="E241" t="s">
        <v>587</v>
      </c>
      <c r="F241">
        <v>4</v>
      </c>
      <c r="G241">
        <v>3</v>
      </c>
      <c r="H241">
        <v>1993</v>
      </c>
      <c r="I241">
        <v>1426376.2799999998</v>
      </c>
      <c r="J241">
        <v>2438</v>
      </c>
      <c r="K241">
        <v>585.05999999999995</v>
      </c>
      <c r="L241">
        <f t="shared" si="3"/>
        <v>2019</v>
      </c>
      <c r="M241" s="3">
        <v>43526</v>
      </c>
      <c r="N241" t="s">
        <v>567</v>
      </c>
      <c r="O241" t="s">
        <v>571</v>
      </c>
      <c r="P241" t="s">
        <v>591</v>
      </c>
      <c r="Q241">
        <v>33</v>
      </c>
      <c r="R241" t="s">
        <v>585</v>
      </c>
      <c r="S241">
        <v>-104.992</v>
      </c>
      <c r="T241">
        <v>39.688000000000002</v>
      </c>
    </row>
    <row r="242" spans="1:20" x14ac:dyDescent="0.3">
      <c r="A242" t="s">
        <v>257</v>
      </c>
      <c r="B242" t="s">
        <v>267</v>
      </c>
      <c r="C242" t="s">
        <v>278</v>
      </c>
      <c r="D242">
        <v>752</v>
      </c>
      <c r="E242" t="s">
        <v>582</v>
      </c>
      <c r="F242">
        <v>2</v>
      </c>
      <c r="G242">
        <v>1</v>
      </c>
      <c r="H242">
        <v>1966</v>
      </c>
      <c r="I242">
        <v>667780.28999999992</v>
      </c>
      <c r="J242">
        <v>1877</v>
      </c>
      <c r="K242">
        <v>355.77</v>
      </c>
      <c r="L242">
        <f t="shared" si="3"/>
        <v>2022</v>
      </c>
      <c r="M242" s="3">
        <v>44626</v>
      </c>
      <c r="N242" t="s">
        <v>569</v>
      </c>
      <c r="O242" t="s">
        <v>574</v>
      </c>
      <c r="P242" t="s">
        <v>581</v>
      </c>
      <c r="Q242">
        <v>5</v>
      </c>
      <c r="R242">
        <v>667780.28999999992</v>
      </c>
      <c r="S242">
        <v>-122.411</v>
      </c>
      <c r="T242">
        <v>37.686999999999998</v>
      </c>
    </row>
    <row r="243" spans="1:20" x14ac:dyDescent="0.3">
      <c r="A243" t="s">
        <v>258</v>
      </c>
      <c r="B243" t="s">
        <v>267</v>
      </c>
      <c r="C243" t="s">
        <v>286</v>
      </c>
      <c r="D243">
        <v>951</v>
      </c>
      <c r="E243" t="s">
        <v>587</v>
      </c>
      <c r="F243">
        <v>5</v>
      </c>
      <c r="G243">
        <v>5</v>
      </c>
      <c r="H243">
        <v>1984</v>
      </c>
      <c r="I243">
        <v>1653793.44</v>
      </c>
      <c r="J243">
        <v>2886</v>
      </c>
      <c r="K243">
        <v>573.04</v>
      </c>
      <c r="L243">
        <f t="shared" si="3"/>
        <v>2020</v>
      </c>
      <c r="M243" s="3">
        <v>44070</v>
      </c>
      <c r="N243" t="s">
        <v>568</v>
      </c>
      <c r="O243" t="s">
        <v>571</v>
      </c>
      <c r="P243" t="s">
        <v>589</v>
      </c>
      <c r="Q243">
        <v>29</v>
      </c>
      <c r="R243" t="s">
        <v>585</v>
      </c>
      <c r="S243">
        <v>-122.27</v>
      </c>
      <c r="T243">
        <v>37.732999999999997</v>
      </c>
    </row>
    <row r="244" spans="1:20" x14ac:dyDescent="0.3">
      <c r="A244" t="s">
        <v>259</v>
      </c>
      <c r="B244" t="s">
        <v>269</v>
      </c>
      <c r="C244" t="s">
        <v>288</v>
      </c>
      <c r="D244">
        <v>516</v>
      </c>
      <c r="E244" t="s">
        <v>583</v>
      </c>
      <c r="F244">
        <v>3</v>
      </c>
      <c r="G244">
        <v>3</v>
      </c>
      <c r="H244">
        <v>2020</v>
      </c>
      <c r="I244">
        <v>1180505.0499999998</v>
      </c>
      <c r="J244">
        <v>2105</v>
      </c>
      <c r="K244">
        <v>560.80999999999995</v>
      </c>
      <c r="L244">
        <f t="shared" si="3"/>
        <v>2019</v>
      </c>
      <c r="M244" s="3">
        <v>43658</v>
      </c>
      <c r="N244" t="s">
        <v>570</v>
      </c>
      <c r="O244" t="s">
        <v>573</v>
      </c>
      <c r="P244" t="s">
        <v>584</v>
      </c>
      <c r="Q244">
        <v>18</v>
      </c>
      <c r="R244" t="s">
        <v>585</v>
      </c>
      <c r="S244">
        <v>-105</v>
      </c>
      <c r="T244">
        <v>39.661000000000001</v>
      </c>
    </row>
    <row r="245" spans="1:20" x14ac:dyDescent="0.3">
      <c r="A245" t="s">
        <v>260</v>
      </c>
      <c r="B245" t="s">
        <v>273</v>
      </c>
      <c r="C245" t="s">
        <v>286</v>
      </c>
      <c r="D245">
        <v>717</v>
      </c>
      <c r="E245" t="s">
        <v>583</v>
      </c>
      <c r="F245">
        <v>2</v>
      </c>
      <c r="G245">
        <v>2</v>
      </c>
      <c r="H245">
        <v>1959</v>
      </c>
      <c r="I245">
        <v>909007.8</v>
      </c>
      <c r="J245">
        <v>1605</v>
      </c>
      <c r="K245">
        <v>566.36</v>
      </c>
      <c r="L245">
        <f t="shared" si="3"/>
        <v>2019</v>
      </c>
      <c r="M245" s="3">
        <v>43592</v>
      </c>
      <c r="N245" t="s">
        <v>566</v>
      </c>
      <c r="O245" t="s">
        <v>573</v>
      </c>
      <c r="P245" t="s">
        <v>589</v>
      </c>
      <c r="Q245">
        <v>5</v>
      </c>
      <c r="R245">
        <v>909007.8</v>
      </c>
      <c r="S245">
        <v>-122.61499999999999</v>
      </c>
      <c r="T245">
        <v>45.557000000000002</v>
      </c>
    </row>
    <row r="246" spans="1:20" x14ac:dyDescent="0.3">
      <c r="A246" t="s">
        <v>261</v>
      </c>
      <c r="B246" t="s">
        <v>276</v>
      </c>
      <c r="C246" t="s">
        <v>317</v>
      </c>
      <c r="D246">
        <v>131</v>
      </c>
      <c r="E246" t="s">
        <v>582</v>
      </c>
      <c r="F246">
        <v>2</v>
      </c>
      <c r="G246">
        <v>2</v>
      </c>
      <c r="H246">
        <v>1931</v>
      </c>
      <c r="I246">
        <v>748893.48</v>
      </c>
      <c r="J246">
        <v>1902</v>
      </c>
      <c r="K246">
        <v>393.74</v>
      </c>
      <c r="L246">
        <f t="shared" si="3"/>
        <v>2022</v>
      </c>
      <c r="M246" s="3">
        <v>44724</v>
      </c>
      <c r="N246" t="s">
        <v>570</v>
      </c>
      <c r="O246" t="s">
        <v>573</v>
      </c>
      <c r="P246" t="s">
        <v>581</v>
      </c>
      <c r="Q246">
        <v>65</v>
      </c>
      <c r="R246">
        <v>748893.48</v>
      </c>
      <c r="S246">
        <v>-87.555999999999997</v>
      </c>
      <c r="T246">
        <v>41.84</v>
      </c>
    </row>
    <row r="247" spans="1:20" x14ac:dyDescent="0.3">
      <c r="A247" t="s">
        <v>262</v>
      </c>
      <c r="B247" t="s">
        <v>270</v>
      </c>
      <c r="C247" t="s">
        <v>281</v>
      </c>
      <c r="D247">
        <v>302</v>
      </c>
      <c r="E247" t="s">
        <v>582</v>
      </c>
      <c r="F247">
        <v>5</v>
      </c>
      <c r="G247">
        <v>5</v>
      </c>
      <c r="H247">
        <v>1959</v>
      </c>
      <c r="I247">
        <v>1959270.8599999999</v>
      </c>
      <c r="J247">
        <v>2818</v>
      </c>
      <c r="K247">
        <v>695.27</v>
      </c>
      <c r="L247">
        <f t="shared" si="3"/>
        <v>2019</v>
      </c>
      <c r="M247" s="3">
        <v>43673</v>
      </c>
      <c r="N247" t="s">
        <v>566</v>
      </c>
      <c r="O247" t="s">
        <v>573</v>
      </c>
      <c r="P247" t="s">
        <v>581</v>
      </c>
      <c r="Q247">
        <v>64</v>
      </c>
      <c r="R247" t="s">
        <v>585</v>
      </c>
      <c r="S247">
        <v>-73.912999999999997</v>
      </c>
      <c r="T247">
        <v>40.776000000000003</v>
      </c>
    </row>
    <row r="248" spans="1:20" x14ac:dyDescent="0.3">
      <c r="A248" t="s">
        <v>263</v>
      </c>
      <c r="B248" t="s">
        <v>269</v>
      </c>
      <c r="C248" t="s">
        <v>592</v>
      </c>
      <c r="D248">
        <v>967</v>
      </c>
      <c r="E248" t="s">
        <v>587</v>
      </c>
      <c r="F248">
        <v>5</v>
      </c>
      <c r="G248">
        <v>5</v>
      </c>
      <c r="H248">
        <v>2017</v>
      </c>
      <c r="I248">
        <v>2138074.56</v>
      </c>
      <c r="J248">
        <v>3116</v>
      </c>
      <c r="K248">
        <v>686.16</v>
      </c>
      <c r="L248">
        <f t="shared" si="3"/>
        <v>2018</v>
      </c>
      <c r="M248" s="3">
        <v>43190</v>
      </c>
      <c r="N248" t="s">
        <v>566</v>
      </c>
      <c r="O248" t="s">
        <v>573</v>
      </c>
      <c r="P248" t="s">
        <v>591</v>
      </c>
      <c r="Q248">
        <v>20</v>
      </c>
      <c r="R248" t="s">
        <v>585</v>
      </c>
      <c r="S248">
        <v>-104.928</v>
      </c>
      <c r="T248">
        <v>39.768999999999998</v>
      </c>
    </row>
    <row r="249" spans="1:20" x14ac:dyDescent="0.3">
      <c r="A249" t="s">
        <v>264</v>
      </c>
      <c r="B249" t="s">
        <v>267</v>
      </c>
      <c r="C249" t="s">
        <v>278</v>
      </c>
      <c r="D249">
        <v>319</v>
      </c>
      <c r="E249" t="s">
        <v>586</v>
      </c>
      <c r="F249">
        <v>4</v>
      </c>
      <c r="G249">
        <v>4</v>
      </c>
      <c r="H249">
        <v>2018</v>
      </c>
      <c r="I249">
        <v>1047217.6000000001</v>
      </c>
      <c r="J249">
        <v>2080</v>
      </c>
      <c r="K249">
        <v>503.47</v>
      </c>
      <c r="L249">
        <f t="shared" si="3"/>
        <v>2022</v>
      </c>
      <c r="M249" s="3">
        <v>44875</v>
      </c>
      <c r="N249" t="s">
        <v>569</v>
      </c>
      <c r="O249" t="s">
        <v>571</v>
      </c>
      <c r="P249" t="s">
        <v>584</v>
      </c>
      <c r="Q249">
        <v>35</v>
      </c>
      <c r="R249">
        <v>1047217.6000000001</v>
      </c>
      <c r="S249">
        <v>-122.345</v>
      </c>
      <c r="T249">
        <v>37.747</v>
      </c>
    </row>
    <row r="250" spans="1:20" x14ac:dyDescent="0.3">
      <c r="A250" t="s">
        <v>265</v>
      </c>
      <c r="B250" t="s">
        <v>271</v>
      </c>
      <c r="C250" t="s">
        <v>313</v>
      </c>
      <c r="D250">
        <v>492</v>
      </c>
      <c r="E250" t="s">
        <v>586</v>
      </c>
      <c r="F250">
        <v>4</v>
      </c>
      <c r="G250">
        <v>3</v>
      </c>
      <c r="H250">
        <v>1904</v>
      </c>
      <c r="I250">
        <v>1389584.34</v>
      </c>
      <c r="J250">
        <v>2529</v>
      </c>
      <c r="K250">
        <v>549.46</v>
      </c>
      <c r="L250">
        <f t="shared" si="3"/>
        <v>2022</v>
      </c>
      <c r="M250" s="3">
        <v>44875</v>
      </c>
      <c r="N250" t="s">
        <v>569</v>
      </c>
      <c r="O250" t="s">
        <v>571</v>
      </c>
      <c r="P250" t="s">
        <v>584</v>
      </c>
      <c r="Q250">
        <v>40</v>
      </c>
      <c r="R250" t="s">
        <v>585</v>
      </c>
      <c r="S250">
        <v>-71.147999999999996</v>
      </c>
      <c r="T250">
        <v>42.37</v>
      </c>
    </row>
    <row r="251" spans="1:20" x14ac:dyDescent="0.3">
      <c r="A251" t="s">
        <v>266</v>
      </c>
      <c r="B251" t="s">
        <v>272</v>
      </c>
      <c r="C251" t="s">
        <v>298</v>
      </c>
      <c r="D251">
        <v>452</v>
      </c>
      <c r="E251" t="s">
        <v>580</v>
      </c>
      <c r="F251">
        <v>5</v>
      </c>
      <c r="G251">
        <v>3</v>
      </c>
      <c r="H251">
        <v>2002</v>
      </c>
      <c r="I251">
        <v>1637724.4200000002</v>
      </c>
      <c r="J251">
        <v>2511</v>
      </c>
      <c r="K251">
        <v>652.22</v>
      </c>
      <c r="L251">
        <f t="shared" si="3"/>
        <v>2018</v>
      </c>
      <c r="M251" s="3">
        <v>43180</v>
      </c>
      <c r="N251" t="s">
        <v>569</v>
      </c>
      <c r="O251" t="s">
        <v>572</v>
      </c>
      <c r="P251" t="s">
        <v>588</v>
      </c>
      <c r="Q251">
        <v>7</v>
      </c>
      <c r="R251" t="s">
        <v>585</v>
      </c>
      <c r="S251">
        <v>-80.180999999999997</v>
      </c>
      <c r="T251">
        <v>25.731999999999999</v>
      </c>
    </row>
  </sheetData>
  <conditionalFormatting sqref="J13">
    <cfRule type="expression" priority="1">
      <formula>ISBLANK(A1)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0B773-05A4-4110-8DF1-E1A02A675D17}">
  <dimension ref="A2:C16"/>
  <sheetViews>
    <sheetView workbookViewId="0">
      <selection activeCell="G10" sqref="G10"/>
    </sheetView>
  </sheetViews>
  <sheetFormatPr defaultRowHeight="14.4" x14ac:dyDescent="0.3"/>
  <cols>
    <col min="1" max="1" width="18.109375" bestFit="1" customWidth="1"/>
    <col min="2" max="2" width="12" bestFit="1" customWidth="1"/>
    <col min="3" max="3" width="12.5546875" bestFit="1" customWidth="1"/>
  </cols>
  <sheetData>
    <row r="2" spans="1:3" ht="23.4" x14ac:dyDescent="0.3">
      <c r="A2" s="6"/>
    </row>
    <row r="3" spans="1:3" x14ac:dyDescent="0.3">
      <c r="A3" s="9" t="s">
        <v>607</v>
      </c>
      <c r="C3" t="s">
        <v>610</v>
      </c>
    </row>
    <row r="5" spans="1:3" x14ac:dyDescent="0.3">
      <c r="A5" s="7" t="s">
        <v>603</v>
      </c>
      <c r="B5">
        <f>COUNTA('clean dataset'!A:A)</f>
        <v>251</v>
      </c>
      <c r="C5" t="str">
        <f>TEXT(B5,"#,##")</f>
        <v>251</v>
      </c>
    </row>
    <row r="6" spans="1:3" x14ac:dyDescent="0.3">
      <c r="A6" s="8"/>
    </row>
    <row r="7" spans="1:3" x14ac:dyDescent="0.3">
      <c r="A7" s="7" t="s">
        <v>604</v>
      </c>
      <c r="B7">
        <f>AVERAGE('clean dataset'!I:I)</f>
        <v>1171851.4842000008</v>
      </c>
      <c r="C7" t="s">
        <v>613</v>
      </c>
    </row>
    <row r="8" spans="1:3" x14ac:dyDescent="0.3">
      <c r="A8" s="8"/>
    </row>
    <row r="9" spans="1:3" x14ac:dyDescent="0.3">
      <c r="A9" s="7" t="s">
        <v>605</v>
      </c>
      <c r="B9">
        <f>MEDIAN('clean dataset'!I:I)</f>
        <v>1158876.3700000001</v>
      </c>
      <c r="C9" t="s">
        <v>614</v>
      </c>
    </row>
    <row r="10" spans="1:3" x14ac:dyDescent="0.3">
      <c r="A10" s="8"/>
    </row>
    <row r="11" spans="1:3" x14ac:dyDescent="0.3">
      <c r="A11" s="7" t="s">
        <v>606</v>
      </c>
      <c r="B11">
        <f>AVERAGE('clean dataset'!K:K)</f>
        <v>535.79563999999982</v>
      </c>
      <c r="C11" t="str">
        <f>TEXT(B11,"$#,#,0")</f>
        <v>$536</v>
      </c>
    </row>
    <row r="12" spans="1:3" x14ac:dyDescent="0.3">
      <c r="A12" s="8"/>
    </row>
    <row r="13" spans="1:3" x14ac:dyDescent="0.3">
      <c r="A13" s="7"/>
    </row>
    <row r="14" spans="1:3" x14ac:dyDescent="0.3">
      <c r="A14" s="8"/>
    </row>
    <row r="15" spans="1:3" x14ac:dyDescent="0.3">
      <c r="A15" s="7"/>
    </row>
    <row r="16" spans="1:3" x14ac:dyDescent="0.3">
      <c r="A16"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A2257-3FB1-49A7-8A07-4F27E8AD8971}">
  <dimension ref="A2:C33"/>
  <sheetViews>
    <sheetView workbookViewId="0">
      <selection activeCell="B11" sqref="B11"/>
    </sheetView>
  </sheetViews>
  <sheetFormatPr defaultRowHeight="14.4" x14ac:dyDescent="0.3"/>
  <cols>
    <col min="1" max="1" width="12.5546875" bestFit="1" customWidth="1"/>
    <col min="2" max="2" width="23" bestFit="1" customWidth="1"/>
    <col min="3" max="3" width="19.77734375" bestFit="1" customWidth="1"/>
    <col min="4" max="4" width="12" bestFit="1" customWidth="1"/>
    <col min="5" max="5" width="16.44140625" bestFit="1" customWidth="1"/>
    <col min="6" max="9" width="12" bestFit="1" customWidth="1"/>
  </cols>
  <sheetData>
    <row r="2" spans="1:3" x14ac:dyDescent="0.3">
      <c r="A2" s="12" t="s">
        <v>608</v>
      </c>
      <c r="B2" s="12"/>
      <c r="C2" s="10"/>
    </row>
    <row r="3" spans="1:3" x14ac:dyDescent="0.3">
      <c r="A3" s="4" t="s">
        <v>600</v>
      </c>
      <c r="B3" t="s">
        <v>609</v>
      </c>
    </row>
    <row r="4" spans="1:3" x14ac:dyDescent="0.3">
      <c r="A4" s="5" t="s">
        <v>270</v>
      </c>
      <c r="B4">
        <v>1468669.2552631579</v>
      </c>
    </row>
    <row r="5" spans="1:3" x14ac:dyDescent="0.3">
      <c r="A5" s="5" t="s">
        <v>273</v>
      </c>
      <c r="B5">
        <v>1396037.7464285712</v>
      </c>
    </row>
    <row r="6" spans="1:3" x14ac:dyDescent="0.3">
      <c r="A6" s="5" t="s">
        <v>274</v>
      </c>
      <c r="B6">
        <v>1328947.7083999997</v>
      </c>
    </row>
    <row r="7" spans="1:3" x14ac:dyDescent="0.3">
      <c r="A7" s="5" t="s">
        <v>269</v>
      </c>
      <c r="B7">
        <v>1205576.8125000002</v>
      </c>
    </row>
    <row r="8" spans="1:3" x14ac:dyDescent="0.3">
      <c r="A8" s="5" t="s">
        <v>272</v>
      </c>
      <c r="B8">
        <v>1200018.1542105265</v>
      </c>
    </row>
    <row r="9" spans="1:3" x14ac:dyDescent="0.3">
      <c r="A9" s="5" t="s">
        <v>267</v>
      </c>
      <c r="B9">
        <v>1128202.9748387097</v>
      </c>
    </row>
    <row r="10" spans="1:3" x14ac:dyDescent="0.3">
      <c r="A10" s="5" t="s">
        <v>271</v>
      </c>
      <c r="B10">
        <v>1126089.7323333335</v>
      </c>
    </row>
    <row r="11" spans="1:3" x14ac:dyDescent="0.3">
      <c r="A11" s="5" t="s">
        <v>276</v>
      </c>
      <c r="B11">
        <v>1028430.7129166668</v>
      </c>
    </row>
    <row r="12" spans="1:3" x14ac:dyDescent="0.3">
      <c r="A12" s="5" t="s">
        <v>268</v>
      </c>
      <c r="B12">
        <v>944836.4800000001</v>
      </c>
    </row>
    <row r="13" spans="1:3" x14ac:dyDescent="0.3">
      <c r="A13" s="5" t="s">
        <v>275</v>
      </c>
      <c r="B13">
        <v>917417.65423076914</v>
      </c>
    </row>
    <row r="14" spans="1:3" x14ac:dyDescent="0.3">
      <c r="A14" s="5" t="s">
        <v>598</v>
      </c>
      <c r="B14">
        <v>1171851.4842000003</v>
      </c>
    </row>
    <row r="22" spans="1:2" x14ac:dyDescent="0.3">
      <c r="A22" s="4" t="s">
        <v>597</v>
      </c>
      <c r="B22" t="s">
        <v>615</v>
      </c>
    </row>
    <row r="23" spans="1:2" x14ac:dyDescent="0.3">
      <c r="A23" s="5" t="s">
        <v>274</v>
      </c>
      <c r="B23" s="11">
        <v>621.83679999999993</v>
      </c>
    </row>
    <row r="24" spans="1:2" x14ac:dyDescent="0.3">
      <c r="A24" s="5" t="s">
        <v>270</v>
      </c>
      <c r="B24" s="11">
        <v>617.5547368421054</v>
      </c>
    </row>
    <row r="25" spans="1:2" x14ac:dyDescent="0.3">
      <c r="A25" s="5" t="s">
        <v>273</v>
      </c>
      <c r="B25" s="11">
        <v>616.50357142857149</v>
      </c>
    </row>
    <row r="26" spans="1:2" x14ac:dyDescent="0.3">
      <c r="A26" s="5" t="s">
        <v>272</v>
      </c>
      <c r="B26" s="11">
        <v>570.0315789473683</v>
      </c>
    </row>
    <row r="27" spans="1:2" x14ac:dyDescent="0.3">
      <c r="A27" s="5" t="s">
        <v>269</v>
      </c>
      <c r="B27" s="11">
        <v>553.62178571428569</v>
      </c>
    </row>
    <row r="28" spans="1:2" x14ac:dyDescent="0.3">
      <c r="A28" s="5" t="s">
        <v>271</v>
      </c>
      <c r="B28" s="11">
        <v>515.89700000000016</v>
      </c>
    </row>
    <row r="29" spans="1:2" x14ac:dyDescent="0.3">
      <c r="A29" s="5" t="s">
        <v>276</v>
      </c>
      <c r="B29" s="11">
        <v>496.84625</v>
      </c>
    </row>
    <row r="30" spans="1:2" x14ac:dyDescent="0.3">
      <c r="A30" s="5" t="s">
        <v>267</v>
      </c>
      <c r="B30" s="11">
        <v>488.2080645161289</v>
      </c>
    </row>
    <row r="31" spans="1:2" x14ac:dyDescent="0.3">
      <c r="A31" s="5" t="s">
        <v>275</v>
      </c>
      <c r="B31" s="11">
        <v>453.98769230769233</v>
      </c>
    </row>
    <row r="32" spans="1:2" x14ac:dyDescent="0.3">
      <c r="A32" s="5" t="s">
        <v>268</v>
      </c>
      <c r="B32" s="11">
        <v>436.79949999999991</v>
      </c>
    </row>
    <row r="33" spans="1:2" x14ac:dyDescent="0.3">
      <c r="A33" s="5" t="s">
        <v>598</v>
      </c>
      <c r="B33">
        <v>535.79564000000005</v>
      </c>
    </row>
  </sheetData>
  <mergeCells count="1">
    <mergeCell ref="A2:B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A0DBE-74C1-461F-8C74-DF77669BE836}">
  <dimension ref="A2:L9"/>
  <sheetViews>
    <sheetView workbookViewId="0">
      <selection activeCell="B8" sqref="B8"/>
    </sheetView>
  </sheetViews>
  <sheetFormatPr defaultRowHeight="14.4" x14ac:dyDescent="0.3"/>
  <cols>
    <col min="1" max="1" width="19.44140625" bestFit="1" customWidth="1"/>
    <col min="2" max="2" width="15.5546875" bestFit="1" customWidth="1"/>
    <col min="3" max="9" width="12" bestFit="1" customWidth="1"/>
    <col min="10" max="10" width="12.33203125" bestFit="1" customWidth="1"/>
    <col min="11" max="12" width="12" bestFit="1" customWidth="1"/>
    <col min="13" max="20" width="17.21875" bestFit="1" customWidth="1"/>
    <col min="21" max="21" width="22" bestFit="1" customWidth="1"/>
    <col min="22" max="22" width="21" bestFit="1" customWidth="1"/>
  </cols>
  <sheetData>
    <row r="2" spans="1:12" x14ac:dyDescent="0.3">
      <c r="B2" s="13" t="s">
        <v>602</v>
      </c>
      <c r="C2" s="13"/>
      <c r="D2" s="13"/>
      <c r="E2" s="13"/>
    </row>
    <row r="3" spans="1:12" x14ac:dyDescent="0.3">
      <c r="A3" s="4" t="s">
        <v>601</v>
      </c>
      <c r="B3" s="4" t="s">
        <v>599</v>
      </c>
    </row>
    <row r="4" spans="1:12" x14ac:dyDescent="0.3">
      <c r="A4" s="4" t="s">
        <v>597</v>
      </c>
      <c r="B4" t="s">
        <v>275</v>
      </c>
      <c r="C4" t="s">
        <v>271</v>
      </c>
      <c r="D4" t="s">
        <v>276</v>
      </c>
      <c r="E4" t="s">
        <v>269</v>
      </c>
      <c r="F4" t="s">
        <v>274</v>
      </c>
      <c r="G4" t="s">
        <v>272</v>
      </c>
      <c r="H4" t="s">
        <v>270</v>
      </c>
      <c r="I4" t="s">
        <v>273</v>
      </c>
      <c r="J4" t="s">
        <v>267</v>
      </c>
      <c r="K4" t="s">
        <v>268</v>
      </c>
      <c r="L4" t="s">
        <v>598</v>
      </c>
    </row>
    <row r="5" spans="1:12" x14ac:dyDescent="0.3">
      <c r="A5" s="5" t="s">
        <v>573</v>
      </c>
      <c r="B5">
        <v>687492.10666666657</v>
      </c>
      <c r="C5">
        <v>951611.48666666669</v>
      </c>
      <c r="D5">
        <v>987085.9483333336</v>
      </c>
      <c r="E5">
        <v>1209467.4211111113</v>
      </c>
      <c r="F5">
        <v>1212721.9583333333</v>
      </c>
      <c r="G5">
        <v>1164472.4466666665</v>
      </c>
      <c r="H5">
        <v>1362953.0066666666</v>
      </c>
      <c r="I5">
        <v>1366331.8675000002</v>
      </c>
      <c r="J5">
        <v>1006247.9042857143</v>
      </c>
      <c r="K5">
        <v>1068767.55</v>
      </c>
      <c r="L5">
        <v>1136690.7518333329</v>
      </c>
    </row>
    <row r="6" spans="1:12" x14ac:dyDescent="0.3">
      <c r="A6" s="5" t="s">
        <v>572</v>
      </c>
      <c r="B6">
        <v>992426.32555555552</v>
      </c>
      <c r="C6">
        <v>1086209.0160000001</v>
      </c>
      <c r="D6">
        <v>1211881.0449999999</v>
      </c>
      <c r="E6">
        <v>1027430.0462499999</v>
      </c>
      <c r="F6">
        <v>1137144.0280000002</v>
      </c>
      <c r="G6">
        <v>1394520.8149999999</v>
      </c>
      <c r="H6">
        <v>1531637.0733333332</v>
      </c>
      <c r="I6">
        <v>1201594.7657142857</v>
      </c>
      <c r="J6">
        <v>1228149.5483333331</v>
      </c>
      <c r="K6">
        <v>766692.37750000006</v>
      </c>
      <c r="L6">
        <v>1147463.2266153842</v>
      </c>
    </row>
    <row r="7" spans="1:12" x14ac:dyDescent="0.3">
      <c r="A7" s="5" t="s">
        <v>571</v>
      </c>
      <c r="B7">
        <v>918467.5542857144</v>
      </c>
      <c r="C7">
        <v>1279490.0492307693</v>
      </c>
      <c r="D7">
        <v>966567.60700000008</v>
      </c>
      <c r="E7">
        <v>1276196.875</v>
      </c>
      <c r="F7">
        <v>1563659.5199999998</v>
      </c>
      <c r="G7">
        <v>1137269.6655555558</v>
      </c>
      <c r="H7">
        <v>1511826.575</v>
      </c>
      <c r="I7">
        <v>1485505.0966666667</v>
      </c>
      <c r="J7">
        <v>1132310.4785714285</v>
      </c>
      <c r="K7">
        <v>971050.57230769238</v>
      </c>
      <c r="L7">
        <v>1201598.8539090911</v>
      </c>
    </row>
    <row r="8" spans="1:12" x14ac:dyDescent="0.3">
      <c r="A8" s="5" t="s">
        <v>574</v>
      </c>
      <c r="C8">
        <v>577562.25</v>
      </c>
      <c r="D8">
        <v>911429.54</v>
      </c>
      <c r="E8">
        <v>1480642.8633333333</v>
      </c>
      <c r="F8">
        <v>1020462.0333333333</v>
      </c>
      <c r="H8">
        <v>1466215.9200000002</v>
      </c>
      <c r="I8">
        <v>1921177.4400000002</v>
      </c>
      <c r="J8">
        <v>1177328.2249999999</v>
      </c>
      <c r="L8">
        <v>1200029.4853333333</v>
      </c>
    </row>
    <row r="9" spans="1:12" x14ac:dyDescent="0.3">
      <c r="A9" s="5" t="s">
        <v>598</v>
      </c>
      <c r="B9">
        <v>917417.65423076903</v>
      </c>
      <c r="C9">
        <v>1126089.7323333335</v>
      </c>
      <c r="D9">
        <v>1028430.7129166668</v>
      </c>
      <c r="E9">
        <v>1205576.8125</v>
      </c>
      <c r="F9">
        <v>1328947.7083999997</v>
      </c>
      <c r="G9">
        <v>1200018.1542105263</v>
      </c>
      <c r="H9">
        <v>1468669.2552631581</v>
      </c>
      <c r="I9">
        <v>1396037.7464285712</v>
      </c>
      <c r="J9">
        <v>1128202.9748387097</v>
      </c>
      <c r="K9">
        <v>944836.4800000001</v>
      </c>
      <c r="L9">
        <v>1171851.4841999998</v>
      </c>
    </row>
  </sheetData>
  <mergeCells count="1">
    <mergeCell ref="B2:E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F06BF-5B81-47E8-8652-7245FF7DFE64}">
  <dimension ref="A3:B11"/>
  <sheetViews>
    <sheetView workbookViewId="0">
      <selection activeCell="B8" sqref="B8"/>
    </sheetView>
  </sheetViews>
  <sheetFormatPr defaultRowHeight="14.4" x14ac:dyDescent="0.3"/>
  <cols>
    <col min="1" max="1" width="12.5546875" bestFit="1" customWidth="1"/>
    <col min="2" max="2" width="19.44140625" bestFit="1" customWidth="1"/>
  </cols>
  <sheetData>
    <row r="3" spans="1:2" x14ac:dyDescent="0.3">
      <c r="A3" s="4" t="s">
        <v>597</v>
      </c>
      <c r="B3" t="s">
        <v>601</v>
      </c>
    </row>
    <row r="4" spans="1:2" x14ac:dyDescent="0.3">
      <c r="A4" s="5">
        <v>2018</v>
      </c>
      <c r="B4">
        <v>1261188.0145714283</v>
      </c>
    </row>
    <row r="5" spans="1:2" x14ac:dyDescent="0.3">
      <c r="A5" s="5">
        <v>2019</v>
      </c>
      <c r="B5">
        <v>1199908.4997619044</v>
      </c>
    </row>
    <row r="6" spans="1:2" x14ac:dyDescent="0.3">
      <c r="A6" s="5">
        <v>2020</v>
      </c>
      <c r="B6">
        <v>1168058.5610000002</v>
      </c>
    </row>
    <row r="7" spans="1:2" x14ac:dyDescent="0.3">
      <c r="A7" s="5">
        <v>2021</v>
      </c>
      <c r="B7">
        <v>1165060.2381249997</v>
      </c>
    </row>
    <row r="8" spans="1:2" x14ac:dyDescent="0.3">
      <c r="A8" s="5">
        <v>2022</v>
      </c>
      <c r="B8">
        <v>1081022.7056250002</v>
      </c>
    </row>
    <row r="9" spans="1:2" x14ac:dyDescent="0.3">
      <c r="A9" s="5">
        <v>2023</v>
      </c>
      <c r="B9">
        <v>1103320.6434285715</v>
      </c>
    </row>
    <row r="10" spans="1:2" x14ac:dyDescent="0.3">
      <c r="A10" s="5">
        <v>2024</v>
      </c>
      <c r="B10">
        <v>1202102.2727272729</v>
      </c>
    </row>
    <row r="11" spans="1:2" x14ac:dyDescent="0.3">
      <c r="A11" s="5" t="s">
        <v>598</v>
      </c>
      <c r="B11">
        <v>1171851.4841999991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B9179-29BD-4B76-B908-2EE72C81CDFE}">
  <dimension ref="A1"/>
  <sheetViews>
    <sheetView tabSelected="1" zoomScale="97" zoomScaleNormal="97" workbookViewId="0">
      <selection activeCell="L50" sqref="L50"/>
    </sheetView>
  </sheetViews>
  <sheetFormatPr defaultRowHeight="14.4" x14ac:dyDescent="0.3"/>
  <cols>
    <col min="4" max="4"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03BA-5981-4DD1-AEC4-BB4F515C15F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EF1463-8FF0-4FD6-8679-7B7A3E06D4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daset</vt:lpstr>
      <vt:lpstr>copy of dataset</vt:lpstr>
      <vt:lpstr>Sheet1</vt:lpstr>
      <vt:lpstr>clean dataset</vt:lpstr>
      <vt:lpstr>KPI'S</vt:lpstr>
      <vt:lpstr>average price per city</vt:lpstr>
      <vt:lpstr>condition wise proce</vt:lpstr>
      <vt:lpstr>avg price</vt:lpstr>
      <vt:lpstr>Sheet8</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harshad gaikwad</cp:lastModifiedBy>
  <dcterms:created xsi:type="dcterms:W3CDTF">2025-11-06T05:41:30Z</dcterms:created>
  <dcterms:modified xsi:type="dcterms:W3CDTF">2025-12-11T11:59:01Z</dcterms:modified>
</cp:coreProperties>
</file>